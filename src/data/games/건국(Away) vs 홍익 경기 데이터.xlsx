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우영\Desktop\데이터 분석\"/>
    </mc:Choice>
  </mc:AlternateContent>
  <xr:revisionPtr revIDLastSave="0" documentId="13_ncr:1_{1EAF20E0-80B4-4C85-A119-C853D3F8FA57}" xr6:coauthVersionLast="47" xr6:coauthVersionMax="47" xr10:uidLastSave="{00000000-0000-0000-0000-000000000000}"/>
  <bookViews>
    <workbookView xWindow="-120" yWindow="-120" windowWidth="29040" windowHeight="15720" xr2:uid="{06FC221F-427C-4068-89F0-DA6F469BB8AD}"/>
  </bookViews>
  <sheets>
    <sheet name="Sheet1" sheetId="1" r:id="rId1"/>
  </sheets>
  <definedNames>
    <definedName name="_xlnm._FilterDatabase" localSheetId="0" hidden="1">Sheet1!$A$10:$X$160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I7" i="1"/>
  <c r="F162" i="1"/>
  <c r="F7" i="1"/>
</calcChain>
</file>

<file path=xl/sharedStrings.xml><?xml version="1.0" encoding="utf-8"?>
<sst xmlns="http://schemas.openxmlformats.org/spreadsheetml/2006/main" count="927" uniqueCount="88">
  <si>
    <t>League</t>
    <phoneticPr fontId="1" type="noConversion"/>
  </si>
  <si>
    <t>Seoul Div2</t>
    <phoneticPr fontId="1" type="noConversion"/>
  </si>
  <si>
    <t>Konkuk Univ.</t>
    <phoneticPr fontId="1" type="noConversion"/>
  </si>
  <si>
    <t>Rushing Yard</t>
    <phoneticPr fontId="1" type="noConversion"/>
  </si>
  <si>
    <t>Allowed Rushing Yard</t>
    <phoneticPr fontId="1" type="noConversion"/>
  </si>
  <si>
    <t>Passing Yard</t>
    <phoneticPr fontId="1" type="noConversion"/>
  </si>
  <si>
    <t>Allowed Passing Yard</t>
    <phoneticPr fontId="1" type="noConversion"/>
  </si>
  <si>
    <t>Total Gained Yard</t>
    <phoneticPr fontId="1" type="noConversion"/>
  </si>
  <si>
    <t>Total Allowed Yard</t>
    <phoneticPr fontId="1" type="noConversion"/>
  </si>
  <si>
    <t>ClipKey</t>
    <phoneticPr fontId="1" type="noConversion"/>
  </si>
  <si>
    <t>OffenseTeam</t>
    <phoneticPr fontId="1" type="noConversion"/>
  </si>
  <si>
    <t>Quarter</t>
    <phoneticPr fontId="1" type="noConversion"/>
  </si>
  <si>
    <t>Down</t>
  </si>
  <si>
    <t>ToGoYard</t>
    <phoneticPr fontId="1" type="noConversion"/>
  </si>
  <si>
    <t>GainYard</t>
    <phoneticPr fontId="1" type="noConversion"/>
  </si>
  <si>
    <t>PlayType</t>
    <phoneticPr fontId="1" type="noConversion"/>
  </si>
  <si>
    <t>StartYardLocation</t>
    <phoneticPr fontId="1" type="noConversion"/>
  </si>
  <si>
    <t>StartYard</t>
    <phoneticPr fontId="1" type="noConversion"/>
  </si>
  <si>
    <t>EndYardLocation</t>
    <phoneticPr fontId="1" type="noConversion"/>
  </si>
  <si>
    <t>EndYard</t>
    <phoneticPr fontId="1" type="noConversion"/>
  </si>
  <si>
    <t>SpecialTeam</t>
    <phoneticPr fontId="1" type="noConversion"/>
  </si>
  <si>
    <t>CARNum</t>
    <phoneticPr fontId="1" type="noConversion"/>
  </si>
  <si>
    <t>CARPos</t>
    <phoneticPr fontId="1" type="noConversion"/>
  </si>
  <si>
    <t>CAR2Num</t>
    <phoneticPr fontId="1" type="noConversion"/>
  </si>
  <si>
    <t>CAR2Pos</t>
    <phoneticPr fontId="1" type="noConversion"/>
  </si>
  <si>
    <t>TKLNum</t>
    <phoneticPr fontId="1" type="noConversion"/>
  </si>
  <si>
    <t>TKLPos</t>
    <phoneticPr fontId="1" type="noConversion"/>
  </si>
  <si>
    <t>TKL2Num</t>
    <phoneticPr fontId="1" type="noConversion"/>
  </si>
  <si>
    <t>TKL2Pos</t>
    <phoneticPr fontId="1" type="noConversion"/>
  </si>
  <si>
    <t>SignificantPlay</t>
    <phoneticPr fontId="1" type="noConversion"/>
  </si>
  <si>
    <t>SignificantPlay2</t>
    <phoneticPr fontId="1" type="noConversion"/>
  </si>
  <si>
    <t>SignificantPlay3</t>
    <phoneticPr fontId="1" type="noConversion"/>
  </si>
  <si>
    <t>SignificantPlay4</t>
    <phoneticPr fontId="1" type="noConversion"/>
  </si>
  <si>
    <t>Away</t>
  </si>
  <si>
    <t>KICKOFF</t>
  </si>
  <si>
    <t>OWN</t>
  </si>
  <si>
    <t>OPP</t>
  </si>
  <si>
    <t>K</t>
  </si>
  <si>
    <t>Home</t>
  </si>
  <si>
    <t>RETURN</t>
    <phoneticPr fontId="1" type="noConversion"/>
  </si>
  <si>
    <t>QB</t>
    <phoneticPr fontId="1" type="noConversion"/>
  </si>
  <si>
    <t>KICKOFF</t>
    <phoneticPr fontId="1" type="noConversion"/>
  </si>
  <si>
    <t>RUN</t>
  </si>
  <si>
    <t>WR</t>
  </si>
  <si>
    <t>FUMBLE</t>
  </si>
  <si>
    <t>RUN</t>
    <phoneticPr fontId="1" type="noConversion"/>
  </si>
  <si>
    <t>DB</t>
  </si>
  <si>
    <t>FUMBLERECOFF</t>
  </si>
  <si>
    <t>TFL</t>
    <phoneticPr fontId="1" type="noConversion"/>
  </si>
  <si>
    <t>RB</t>
  </si>
  <si>
    <t>NONE</t>
  </si>
  <si>
    <t>PENALTY.HOME</t>
  </si>
  <si>
    <t>LB</t>
  </si>
  <si>
    <t>TE</t>
  </si>
  <si>
    <t>DL</t>
  </si>
  <si>
    <t>TFL</t>
  </si>
  <si>
    <t>PUNT</t>
  </si>
  <si>
    <t>P</t>
  </si>
  <si>
    <t>SAFETY</t>
  </si>
  <si>
    <t>NONE</t>
    <phoneticPr fontId="1" type="noConversion"/>
  </si>
  <si>
    <t>Own</t>
    <phoneticPr fontId="1" type="noConversion"/>
  </si>
  <si>
    <t>QB</t>
  </si>
  <si>
    <t>Home</t>
    <phoneticPr fontId="1" type="noConversion"/>
  </si>
  <si>
    <t>FUMBLERECDEF</t>
  </si>
  <si>
    <t>TURNOVER</t>
    <phoneticPr fontId="1" type="noConversion"/>
  </si>
  <si>
    <t>TOUCHDOWN</t>
  </si>
  <si>
    <t>PAT</t>
  </si>
  <si>
    <t>PATGOOD</t>
  </si>
  <si>
    <t>PENALTY.AWAY</t>
  </si>
  <si>
    <t>TURNOVER</t>
  </si>
  <si>
    <t>WR</t>
    <phoneticPr fontId="1" type="noConversion"/>
  </si>
  <si>
    <t>NOPASS</t>
  </si>
  <si>
    <t>PASS</t>
  </si>
  <si>
    <t>TPT</t>
  </si>
  <si>
    <t>TWOPTCONV.NOGOOD</t>
  </si>
  <si>
    <t>PUNT</t>
    <phoneticPr fontId="1" type="noConversion"/>
  </si>
  <si>
    <t>PENALTY.HOME</t>
    <phoneticPr fontId="1" type="noConversion"/>
  </si>
  <si>
    <t>PENALTY.AWAY</t>
    <phoneticPr fontId="1" type="noConversion"/>
  </si>
  <si>
    <t>OPP</t>
    <phoneticPr fontId="1" type="noConversion"/>
  </si>
  <si>
    <t>Away</t>
    <phoneticPr fontId="1" type="noConversion"/>
  </si>
  <si>
    <t>OWN</t>
    <phoneticPr fontId="1" type="noConversion"/>
  </si>
  <si>
    <t>PASS</t>
    <phoneticPr fontId="1" type="noConversion"/>
  </si>
  <si>
    <t>DB</t>
    <phoneticPr fontId="1" type="noConversion"/>
  </si>
  <si>
    <t>TWOPTCONV.GOOD</t>
  </si>
  <si>
    <t>Pass Attempt</t>
    <phoneticPr fontId="1" type="noConversion"/>
  </si>
  <si>
    <t>Pass Complete</t>
    <phoneticPr fontId="1" type="noConversion"/>
  </si>
  <si>
    <t>Rush Attempt</t>
    <phoneticPr fontId="1" type="noConversion"/>
  </si>
  <si>
    <t>Rush 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</si>
</sst>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4" fillId="3" borderId="4" xfId="0" applyFont="1" applyFill="1" applyBorder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9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CD69-41C7-4BB3-9164-836EBB57893A}">
  <sheetPr filterMode="1"/>
  <dimension ref="A2:DT162"/>
  <sheetViews>
    <sheetView tabSelected="1" zoomScaleNormal="100" workbookViewId="0">
      <selection activeCell="J7" sqref="J7"/>
    </sheetView>
  </sheetViews>
  <sheetFormatPr defaultRowHeight="16.5" x14ac:dyDescent="0.3"/>
  <cols>
    <col min="1" max="1" width="8.25" customWidth="1"/>
    <col min="2" max="2" width="17.625" bestFit="1" customWidth="1"/>
    <col min="3" max="3" width="7.875" bestFit="1" customWidth="1"/>
    <col min="4" max="4" width="6.25" bestFit="1" customWidth="1"/>
    <col min="5" max="5" width="21.375" bestFit="1" customWidth="1"/>
    <col min="6" max="6" width="13.625" bestFit="1" customWidth="1"/>
    <col min="7" max="7" width="10.125" customWidth="1"/>
    <col min="8" max="8" width="17.125" customWidth="1"/>
    <col min="9" max="9" width="9.75" customWidth="1"/>
    <col min="10" max="10" width="17" bestFit="1" customWidth="1"/>
    <col min="11" max="11" width="13.5" bestFit="1" customWidth="1"/>
    <col min="12" max="12" width="8.375" customWidth="1"/>
    <col min="13" max="13" width="9.875" bestFit="1" customWidth="1"/>
    <col min="14" max="14" width="8.625" bestFit="1" customWidth="1"/>
    <col min="15" max="15" width="11" bestFit="1" customWidth="1"/>
    <col min="16" max="16" width="9.75" bestFit="1" customWidth="1"/>
    <col min="17" max="17" width="9.375" bestFit="1" customWidth="1"/>
    <col min="18" max="18" width="8.125" bestFit="1" customWidth="1"/>
    <col min="19" max="19" width="10.5" bestFit="1" customWidth="1"/>
    <col min="20" max="20" width="9.25" bestFit="1" customWidth="1"/>
    <col min="21" max="21" width="14.375" bestFit="1" customWidth="1"/>
    <col min="22" max="24" width="15.625" bestFit="1" customWidth="1"/>
    <col min="25" max="124" width="9" style="1"/>
  </cols>
  <sheetData>
    <row r="2" spans="1:24" x14ac:dyDescent="0.3">
      <c r="B2" t="s">
        <v>0</v>
      </c>
      <c r="C2" t="s">
        <v>1</v>
      </c>
    </row>
    <row r="4" spans="1:24" x14ac:dyDescent="0.3">
      <c r="A4" t="s">
        <v>79</v>
      </c>
      <c r="B4" t="s">
        <v>2</v>
      </c>
    </row>
    <row r="5" spans="1:24" x14ac:dyDescent="0.3">
      <c r="B5" t="s">
        <v>3</v>
      </c>
      <c r="C5">
        <v>283</v>
      </c>
      <c r="E5" t="s">
        <v>4</v>
      </c>
      <c r="F5">
        <v>34</v>
      </c>
      <c r="H5" t="s">
        <v>84</v>
      </c>
      <c r="I5">
        <v>18</v>
      </c>
      <c r="K5" t="s">
        <v>86</v>
      </c>
      <c r="L5">
        <v>33</v>
      </c>
    </row>
    <row r="6" spans="1:24" x14ac:dyDescent="0.3">
      <c r="B6" t="s">
        <v>5</v>
      </c>
      <c r="C6">
        <v>17</v>
      </c>
      <c r="E6" t="s">
        <v>6</v>
      </c>
      <c r="F6">
        <v>79</v>
      </c>
      <c r="H6" t="s">
        <v>85</v>
      </c>
      <c r="I6">
        <v>6</v>
      </c>
      <c r="K6" t="s">
        <v>87</v>
      </c>
      <c r="L6" s="11">
        <f>283/33</f>
        <v>8.5757575757575761</v>
      </c>
    </row>
    <row r="7" spans="1:24" x14ac:dyDescent="0.3">
      <c r="B7" t="s">
        <v>7</v>
      </c>
      <c r="C7">
        <v>330</v>
      </c>
      <c r="E7" t="s">
        <v>8</v>
      </c>
      <c r="F7">
        <f>84+34+79</f>
        <v>197</v>
      </c>
      <c r="I7" s="10">
        <f>6/18</f>
        <v>0.33333333333333331</v>
      </c>
    </row>
    <row r="10" spans="1:24" x14ac:dyDescent="0.3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4" t="s">
        <v>14</v>
      </c>
      <c r="G10" s="5" t="s">
        <v>15</v>
      </c>
      <c r="H10" s="5" t="s">
        <v>16</v>
      </c>
      <c r="I10" s="5" t="s">
        <v>17</v>
      </c>
      <c r="J10" s="4" t="s">
        <v>18</v>
      </c>
      <c r="K10" s="4" t="s">
        <v>19</v>
      </c>
      <c r="L10" s="4" t="s">
        <v>20</v>
      </c>
      <c r="M10" s="4" t="s">
        <v>21</v>
      </c>
      <c r="N10" s="6" t="s">
        <v>22</v>
      </c>
      <c r="O10" s="6" t="s">
        <v>23</v>
      </c>
      <c r="P10" s="6" t="s">
        <v>24</v>
      </c>
      <c r="Q10" s="7" t="s">
        <v>25</v>
      </c>
      <c r="R10" s="6" t="s">
        <v>26</v>
      </c>
      <c r="S10" s="6" t="s">
        <v>27</v>
      </c>
      <c r="T10" s="6" t="s">
        <v>28</v>
      </c>
      <c r="U10" s="6" t="s">
        <v>29</v>
      </c>
      <c r="V10" s="6" t="s">
        <v>30</v>
      </c>
      <c r="W10" s="6" t="s">
        <v>31</v>
      </c>
      <c r="X10" s="6" t="s">
        <v>32</v>
      </c>
    </row>
    <row r="11" spans="1:24" hidden="1" x14ac:dyDescent="0.3">
      <c r="A11" s="8">
        <v>1</v>
      </c>
      <c r="B11" s="8" t="s">
        <v>33</v>
      </c>
      <c r="C11" s="8">
        <v>1</v>
      </c>
      <c r="D11" s="8"/>
      <c r="F11">
        <v>56</v>
      </c>
      <c r="G11" t="s">
        <v>34</v>
      </c>
      <c r="H11" t="s">
        <v>35</v>
      </c>
      <c r="I11">
        <v>35</v>
      </c>
      <c r="J11" t="s">
        <v>36</v>
      </c>
      <c r="K11">
        <v>9</v>
      </c>
      <c r="L11" t="b">
        <v>1</v>
      </c>
      <c r="M11">
        <v>87</v>
      </c>
      <c r="N11" t="s">
        <v>37</v>
      </c>
      <c r="O11" s="8"/>
      <c r="P11" s="8"/>
      <c r="Q11" s="9"/>
    </row>
    <row r="12" spans="1:24" hidden="1" x14ac:dyDescent="0.3">
      <c r="A12" s="8">
        <v>1</v>
      </c>
      <c r="B12" s="8" t="s">
        <v>38</v>
      </c>
      <c r="C12" s="8">
        <v>1</v>
      </c>
      <c r="D12" s="8"/>
      <c r="F12">
        <v>1</v>
      </c>
      <c r="G12" t="s">
        <v>39</v>
      </c>
      <c r="H12" t="s">
        <v>35</v>
      </c>
      <c r="I12">
        <v>9</v>
      </c>
      <c r="J12" t="s">
        <v>35</v>
      </c>
      <c r="K12">
        <v>10</v>
      </c>
      <c r="L12" t="b">
        <v>1</v>
      </c>
      <c r="M12">
        <v>9</v>
      </c>
      <c r="N12" t="s">
        <v>40</v>
      </c>
      <c r="U12" t="s">
        <v>41</v>
      </c>
    </row>
    <row r="13" spans="1:24" hidden="1" x14ac:dyDescent="0.3">
      <c r="A13" s="8">
        <v>2</v>
      </c>
      <c r="B13" s="8" t="s">
        <v>38</v>
      </c>
      <c r="C13" s="8">
        <v>1</v>
      </c>
      <c r="D13" s="8">
        <v>1</v>
      </c>
      <c r="E13">
        <v>10</v>
      </c>
      <c r="F13">
        <v>-5</v>
      </c>
      <c r="G13" t="s">
        <v>42</v>
      </c>
      <c r="H13" t="s">
        <v>35</v>
      </c>
      <c r="I13">
        <v>10</v>
      </c>
      <c r="J13" t="s">
        <v>35</v>
      </c>
      <c r="K13">
        <v>5</v>
      </c>
      <c r="L13" t="b">
        <v>0</v>
      </c>
      <c r="M13">
        <v>3</v>
      </c>
      <c r="N13" t="s">
        <v>43</v>
      </c>
      <c r="U13" t="s">
        <v>44</v>
      </c>
    </row>
    <row r="14" spans="1:24" hidden="1" x14ac:dyDescent="0.3">
      <c r="A14">
        <v>2</v>
      </c>
      <c r="B14" t="s">
        <v>38</v>
      </c>
      <c r="C14">
        <v>1</v>
      </c>
      <c r="D14">
        <v>1</v>
      </c>
      <c r="E14">
        <v>10</v>
      </c>
      <c r="F14">
        <v>4</v>
      </c>
      <c r="G14" t="s">
        <v>45</v>
      </c>
      <c r="H14" t="s">
        <v>35</v>
      </c>
      <c r="I14">
        <v>5</v>
      </c>
      <c r="J14" t="s">
        <v>35</v>
      </c>
      <c r="K14">
        <v>9</v>
      </c>
      <c r="L14" t="b">
        <v>0</v>
      </c>
      <c r="M14">
        <v>3</v>
      </c>
      <c r="N14" t="s">
        <v>43</v>
      </c>
      <c r="Q14">
        <v>87</v>
      </c>
      <c r="R14" t="s">
        <v>46</v>
      </c>
      <c r="U14" t="s">
        <v>47</v>
      </c>
      <c r="V14" t="s">
        <v>48</v>
      </c>
    </row>
    <row r="15" spans="1:24" hidden="1" x14ac:dyDescent="0.3">
      <c r="A15">
        <v>3</v>
      </c>
      <c r="B15" t="s">
        <v>38</v>
      </c>
      <c r="C15">
        <v>1</v>
      </c>
      <c r="D15">
        <v>2</v>
      </c>
      <c r="E15">
        <v>11</v>
      </c>
      <c r="F15">
        <v>13</v>
      </c>
      <c r="G15" t="s">
        <v>42</v>
      </c>
      <c r="H15" t="s">
        <v>35</v>
      </c>
      <c r="I15">
        <v>9</v>
      </c>
      <c r="J15" t="s">
        <v>35</v>
      </c>
      <c r="K15">
        <v>22</v>
      </c>
      <c r="L15" t="b">
        <v>0</v>
      </c>
      <c r="M15">
        <v>25</v>
      </c>
      <c r="N15" t="s">
        <v>49</v>
      </c>
    </row>
    <row r="16" spans="1:24" hidden="1" x14ac:dyDescent="0.3">
      <c r="A16">
        <v>4</v>
      </c>
      <c r="B16" t="s">
        <v>38</v>
      </c>
      <c r="C16">
        <v>1</v>
      </c>
      <c r="D16">
        <v>1</v>
      </c>
      <c r="E16">
        <v>10</v>
      </c>
      <c r="F16">
        <v>0</v>
      </c>
      <c r="G16" t="s">
        <v>50</v>
      </c>
      <c r="I16">
        <v>10</v>
      </c>
      <c r="L16" t="b">
        <v>0</v>
      </c>
      <c r="U16" t="s">
        <v>51</v>
      </c>
    </row>
    <row r="17" spans="1:23" hidden="1" x14ac:dyDescent="0.3">
      <c r="A17">
        <v>5</v>
      </c>
      <c r="B17" t="s">
        <v>38</v>
      </c>
      <c r="C17">
        <v>1</v>
      </c>
      <c r="D17">
        <v>1</v>
      </c>
      <c r="E17">
        <v>20</v>
      </c>
      <c r="F17">
        <v>9</v>
      </c>
      <c r="G17" t="s">
        <v>42</v>
      </c>
      <c r="H17" t="s">
        <v>35</v>
      </c>
      <c r="I17">
        <v>12</v>
      </c>
      <c r="J17" t="s">
        <v>35</v>
      </c>
      <c r="K17">
        <v>21</v>
      </c>
      <c r="L17" t="b">
        <v>0</v>
      </c>
      <c r="M17">
        <v>25</v>
      </c>
      <c r="N17" t="s">
        <v>49</v>
      </c>
      <c r="Q17">
        <v>3</v>
      </c>
      <c r="R17" t="s">
        <v>46</v>
      </c>
      <c r="S17">
        <v>9</v>
      </c>
      <c r="T17" t="s">
        <v>52</v>
      </c>
    </row>
    <row r="18" spans="1:23" hidden="1" x14ac:dyDescent="0.3">
      <c r="A18">
        <v>6</v>
      </c>
      <c r="B18" t="s">
        <v>38</v>
      </c>
      <c r="C18">
        <v>1</v>
      </c>
      <c r="D18">
        <v>2</v>
      </c>
      <c r="E18">
        <v>11</v>
      </c>
      <c r="F18">
        <v>8</v>
      </c>
      <c r="G18" t="s">
        <v>42</v>
      </c>
      <c r="H18" t="s">
        <v>35</v>
      </c>
      <c r="I18">
        <v>21</v>
      </c>
      <c r="J18" t="s">
        <v>35</v>
      </c>
      <c r="K18">
        <v>29</v>
      </c>
      <c r="L18" t="b">
        <v>0</v>
      </c>
      <c r="M18">
        <v>99</v>
      </c>
      <c r="N18" t="s">
        <v>53</v>
      </c>
      <c r="Q18">
        <v>12</v>
      </c>
      <c r="R18" t="s">
        <v>52</v>
      </c>
    </row>
    <row r="19" spans="1:23" hidden="1" x14ac:dyDescent="0.3">
      <c r="A19">
        <v>7</v>
      </c>
      <c r="B19" t="s">
        <v>38</v>
      </c>
      <c r="C19">
        <v>1</v>
      </c>
      <c r="D19">
        <v>3</v>
      </c>
      <c r="E19">
        <v>3</v>
      </c>
      <c r="F19">
        <v>-1</v>
      </c>
      <c r="G19" t="s">
        <v>42</v>
      </c>
      <c r="H19" t="s">
        <v>35</v>
      </c>
      <c r="I19">
        <v>29</v>
      </c>
      <c r="J19" t="s">
        <v>35</v>
      </c>
      <c r="K19">
        <v>28</v>
      </c>
      <c r="L19" t="b">
        <v>0</v>
      </c>
      <c r="M19">
        <v>49</v>
      </c>
      <c r="N19" t="s">
        <v>49</v>
      </c>
      <c r="Q19">
        <v>78</v>
      </c>
      <c r="R19" t="s">
        <v>54</v>
      </c>
      <c r="S19">
        <v>58</v>
      </c>
      <c r="T19" t="s">
        <v>54</v>
      </c>
      <c r="U19" t="s">
        <v>55</v>
      </c>
    </row>
    <row r="20" spans="1:23" hidden="1" x14ac:dyDescent="0.3">
      <c r="A20">
        <v>8</v>
      </c>
      <c r="B20" t="s">
        <v>38</v>
      </c>
      <c r="C20">
        <v>1</v>
      </c>
      <c r="D20">
        <v>4</v>
      </c>
      <c r="E20">
        <v>4</v>
      </c>
      <c r="F20">
        <v>-28</v>
      </c>
      <c r="G20" t="s">
        <v>56</v>
      </c>
      <c r="H20" t="s">
        <v>35</v>
      </c>
      <c r="I20">
        <v>28</v>
      </c>
      <c r="J20" t="s">
        <v>35</v>
      </c>
      <c r="K20">
        <v>0</v>
      </c>
      <c r="L20" t="b">
        <v>1</v>
      </c>
      <c r="M20">
        <v>99</v>
      </c>
      <c r="N20" t="s">
        <v>57</v>
      </c>
      <c r="U20" t="s">
        <v>44</v>
      </c>
    </row>
    <row r="21" spans="1:23" hidden="1" x14ac:dyDescent="0.3">
      <c r="A21">
        <v>8</v>
      </c>
      <c r="B21" t="s">
        <v>38</v>
      </c>
      <c r="C21">
        <v>1</v>
      </c>
      <c r="D21">
        <v>4</v>
      </c>
      <c r="E21">
        <v>4</v>
      </c>
      <c r="F21">
        <v>0</v>
      </c>
      <c r="G21" t="s">
        <v>45</v>
      </c>
      <c r="H21" t="s">
        <v>35</v>
      </c>
      <c r="I21">
        <v>0</v>
      </c>
      <c r="J21" t="s">
        <v>35</v>
      </c>
      <c r="K21">
        <v>0</v>
      </c>
      <c r="L21" t="b">
        <v>1</v>
      </c>
      <c r="M21">
        <v>99</v>
      </c>
      <c r="N21" t="s">
        <v>57</v>
      </c>
      <c r="U21" t="s">
        <v>47</v>
      </c>
      <c r="V21" t="s">
        <v>58</v>
      </c>
    </row>
    <row r="22" spans="1:23" hidden="1" x14ac:dyDescent="0.3">
      <c r="A22">
        <v>9</v>
      </c>
      <c r="B22" t="s">
        <v>38</v>
      </c>
      <c r="C22">
        <v>1</v>
      </c>
      <c r="F22">
        <v>0</v>
      </c>
      <c r="G22" t="s">
        <v>59</v>
      </c>
      <c r="I22">
        <v>5</v>
      </c>
      <c r="L22" t="b">
        <v>0</v>
      </c>
      <c r="U22" t="s">
        <v>51</v>
      </c>
    </row>
    <row r="23" spans="1:23" hidden="1" x14ac:dyDescent="0.3">
      <c r="A23">
        <v>10</v>
      </c>
      <c r="B23" t="s">
        <v>38</v>
      </c>
      <c r="C23">
        <v>1</v>
      </c>
      <c r="F23">
        <v>63</v>
      </c>
      <c r="G23" t="s">
        <v>34</v>
      </c>
      <c r="H23" t="s">
        <v>35</v>
      </c>
      <c r="I23">
        <v>15</v>
      </c>
      <c r="J23" t="s">
        <v>36</v>
      </c>
      <c r="K23">
        <v>22</v>
      </c>
      <c r="L23" t="b">
        <v>1</v>
      </c>
      <c r="M23">
        <v>99</v>
      </c>
      <c r="N23" t="s">
        <v>37</v>
      </c>
    </row>
    <row r="24" spans="1:23" hidden="1" x14ac:dyDescent="0.3">
      <c r="A24">
        <v>10</v>
      </c>
      <c r="B24" t="s">
        <v>33</v>
      </c>
      <c r="C24">
        <v>1</v>
      </c>
      <c r="F24">
        <v>25</v>
      </c>
      <c r="G24" t="s">
        <v>39</v>
      </c>
      <c r="H24" t="s">
        <v>35</v>
      </c>
      <c r="I24">
        <v>22</v>
      </c>
      <c r="J24" t="s">
        <v>60</v>
      </c>
      <c r="K24">
        <v>47</v>
      </c>
      <c r="L24" t="b">
        <v>1</v>
      </c>
      <c r="M24">
        <v>87</v>
      </c>
      <c r="N24" t="s">
        <v>46</v>
      </c>
      <c r="U24" t="s">
        <v>41</v>
      </c>
    </row>
    <row r="25" spans="1:23" x14ac:dyDescent="0.3">
      <c r="A25">
        <v>11</v>
      </c>
      <c r="B25" t="s">
        <v>33</v>
      </c>
      <c r="C25">
        <v>1</v>
      </c>
      <c r="D25">
        <v>1</v>
      </c>
      <c r="E25">
        <v>10</v>
      </c>
      <c r="F25">
        <v>4</v>
      </c>
      <c r="G25" t="s">
        <v>42</v>
      </c>
      <c r="H25" t="s">
        <v>35</v>
      </c>
      <c r="I25">
        <v>47</v>
      </c>
      <c r="J25" t="s">
        <v>36</v>
      </c>
      <c r="K25">
        <v>49</v>
      </c>
      <c r="L25" t="b">
        <v>0</v>
      </c>
      <c r="M25">
        <v>47</v>
      </c>
      <c r="N25" t="s">
        <v>49</v>
      </c>
      <c r="Q25">
        <v>66</v>
      </c>
      <c r="R25" t="s">
        <v>54</v>
      </c>
      <c r="S25">
        <v>57</v>
      </c>
      <c r="T25" t="s">
        <v>52</v>
      </c>
    </row>
    <row r="26" spans="1:23" x14ac:dyDescent="0.3">
      <c r="A26">
        <v>12</v>
      </c>
      <c r="B26" t="s">
        <v>33</v>
      </c>
      <c r="C26">
        <v>1</v>
      </c>
      <c r="D26">
        <v>2</v>
      </c>
      <c r="E26">
        <v>6</v>
      </c>
      <c r="F26">
        <v>-3</v>
      </c>
      <c r="G26" t="s">
        <v>42</v>
      </c>
      <c r="H26" t="s">
        <v>36</v>
      </c>
      <c r="I26">
        <v>49</v>
      </c>
      <c r="J26" t="s">
        <v>35</v>
      </c>
      <c r="K26">
        <v>48</v>
      </c>
      <c r="L26" t="b">
        <v>0</v>
      </c>
      <c r="M26">
        <v>22</v>
      </c>
      <c r="N26" t="s">
        <v>43</v>
      </c>
      <c r="Q26">
        <v>22</v>
      </c>
      <c r="R26" t="s">
        <v>46</v>
      </c>
      <c r="U26" t="s">
        <v>55</v>
      </c>
    </row>
    <row r="27" spans="1:23" x14ac:dyDescent="0.3">
      <c r="A27">
        <v>13</v>
      </c>
      <c r="B27" t="s">
        <v>33</v>
      </c>
      <c r="C27">
        <v>1</v>
      </c>
      <c r="D27">
        <v>3</v>
      </c>
      <c r="E27">
        <v>9</v>
      </c>
      <c r="F27">
        <v>1</v>
      </c>
      <c r="G27" t="s">
        <v>42</v>
      </c>
      <c r="H27" t="s">
        <v>35</v>
      </c>
      <c r="I27">
        <v>48</v>
      </c>
      <c r="J27" t="s">
        <v>35</v>
      </c>
      <c r="K27">
        <v>49</v>
      </c>
      <c r="L27" t="b">
        <v>0</v>
      </c>
      <c r="M27">
        <v>16</v>
      </c>
      <c r="N27" t="s">
        <v>61</v>
      </c>
      <c r="Q27">
        <v>22</v>
      </c>
      <c r="R27" t="s">
        <v>46</v>
      </c>
    </row>
    <row r="28" spans="1:23" hidden="1" x14ac:dyDescent="0.3">
      <c r="A28">
        <v>14</v>
      </c>
      <c r="B28" t="s">
        <v>33</v>
      </c>
      <c r="C28">
        <v>1</v>
      </c>
      <c r="D28">
        <v>4</v>
      </c>
      <c r="E28">
        <v>8</v>
      </c>
      <c r="F28">
        <v>30</v>
      </c>
      <c r="G28" t="s">
        <v>56</v>
      </c>
      <c r="H28" t="s">
        <v>35</v>
      </c>
      <c r="I28">
        <v>49</v>
      </c>
      <c r="J28" t="s">
        <v>36</v>
      </c>
      <c r="K28">
        <v>21</v>
      </c>
      <c r="L28" t="b">
        <v>1</v>
      </c>
      <c r="M28">
        <v>87</v>
      </c>
      <c r="N28" t="s">
        <v>57</v>
      </c>
    </row>
    <row r="29" spans="1:23" hidden="1" x14ac:dyDescent="0.3">
      <c r="A29">
        <v>14</v>
      </c>
      <c r="B29" t="s">
        <v>62</v>
      </c>
      <c r="C29">
        <v>1</v>
      </c>
      <c r="D29">
        <v>4</v>
      </c>
      <c r="E29">
        <v>8</v>
      </c>
      <c r="F29">
        <v>0</v>
      </c>
      <c r="G29" t="s">
        <v>50</v>
      </c>
      <c r="I29">
        <v>10</v>
      </c>
      <c r="L29" t="b">
        <v>0</v>
      </c>
      <c r="U29" t="s">
        <v>51</v>
      </c>
    </row>
    <row r="30" spans="1:23" hidden="1" x14ac:dyDescent="0.3">
      <c r="A30">
        <v>15</v>
      </c>
      <c r="B30" t="s">
        <v>62</v>
      </c>
      <c r="C30">
        <v>1</v>
      </c>
      <c r="D30">
        <v>1</v>
      </c>
      <c r="E30">
        <v>10</v>
      </c>
      <c r="F30">
        <v>6</v>
      </c>
      <c r="G30" t="s">
        <v>42</v>
      </c>
      <c r="H30" t="s">
        <v>35</v>
      </c>
      <c r="I30">
        <v>9</v>
      </c>
      <c r="J30" t="s">
        <v>35</v>
      </c>
      <c r="K30">
        <v>15</v>
      </c>
      <c r="L30" t="b">
        <v>0</v>
      </c>
      <c r="M30">
        <v>45</v>
      </c>
      <c r="N30" t="s">
        <v>49</v>
      </c>
      <c r="Q30">
        <v>9</v>
      </c>
      <c r="R30" t="s">
        <v>52</v>
      </c>
      <c r="S30">
        <v>58</v>
      </c>
      <c r="T30" t="s">
        <v>54</v>
      </c>
    </row>
    <row r="31" spans="1:23" hidden="1" x14ac:dyDescent="0.3">
      <c r="A31">
        <v>16</v>
      </c>
      <c r="B31" t="s">
        <v>62</v>
      </c>
      <c r="C31">
        <v>1</v>
      </c>
      <c r="D31">
        <v>2</v>
      </c>
      <c r="E31">
        <v>4</v>
      </c>
      <c r="F31">
        <v>-5</v>
      </c>
      <c r="G31" t="s">
        <v>42</v>
      </c>
      <c r="H31" t="s">
        <v>35</v>
      </c>
      <c r="I31">
        <v>15</v>
      </c>
      <c r="J31" t="s">
        <v>35</v>
      </c>
      <c r="K31">
        <v>10</v>
      </c>
      <c r="L31" t="b">
        <v>0</v>
      </c>
      <c r="M31">
        <v>1</v>
      </c>
      <c r="N31" t="s">
        <v>43</v>
      </c>
      <c r="Q31">
        <v>78</v>
      </c>
      <c r="R31" t="s">
        <v>54</v>
      </c>
      <c r="U31" t="s">
        <v>44</v>
      </c>
      <c r="V31" t="s">
        <v>48</v>
      </c>
      <c r="W31" t="s">
        <v>63</v>
      </c>
    </row>
    <row r="32" spans="1:23" hidden="1" x14ac:dyDescent="0.3">
      <c r="A32">
        <v>16</v>
      </c>
      <c r="B32" t="s">
        <v>62</v>
      </c>
      <c r="C32">
        <v>1</v>
      </c>
      <c r="D32">
        <v>2</v>
      </c>
      <c r="E32">
        <v>4</v>
      </c>
      <c r="F32">
        <v>0</v>
      </c>
      <c r="G32" t="s">
        <v>39</v>
      </c>
      <c r="H32" t="s">
        <v>35</v>
      </c>
      <c r="I32">
        <v>0</v>
      </c>
      <c r="J32" t="s">
        <v>35</v>
      </c>
      <c r="K32">
        <v>0</v>
      </c>
      <c r="L32" t="b">
        <v>0</v>
      </c>
      <c r="M32">
        <v>1</v>
      </c>
      <c r="N32" t="s">
        <v>43</v>
      </c>
      <c r="Q32">
        <v>58</v>
      </c>
      <c r="R32" t="s">
        <v>54</v>
      </c>
      <c r="U32" t="s">
        <v>63</v>
      </c>
      <c r="V32" t="s">
        <v>64</v>
      </c>
      <c r="W32" t="s">
        <v>65</v>
      </c>
    </row>
    <row r="33" spans="1:22" hidden="1" x14ac:dyDescent="0.3">
      <c r="A33">
        <v>17</v>
      </c>
      <c r="B33" t="s">
        <v>33</v>
      </c>
      <c r="C33">
        <v>1</v>
      </c>
      <c r="F33">
        <v>0</v>
      </c>
      <c r="G33" t="s">
        <v>66</v>
      </c>
      <c r="L33" t="b">
        <v>1</v>
      </c>
      <c r="M33">
        <v>87</v>
      </c>
      <c r="N33" t="s">
        <v>37</v>
      </c>
      <c r="U33" t="s">
        <v>67</v>
      </c>
    </row>
    <row r="34" spans="1:22" hidden="1" x14ac:dyDescent="0.3">
      <c r="A34">
        <v>18</v>
      </c>
      <c r="B34" t="s">
        <v>33</v>
      </c>
      <c r="C34">
        <v>1</v>
      </c>
      <c r="F34">
        <v>0</v>
      </c>
      <c r="G34" t="s">
        <v>50</v>
      </c>
      <c r="I34">
        <v>5</v>
      </c>
      <c r="L34" t="b">
        <v>0</v>
      </c>
      <c r="U34" t="s">
        <v>68</v>
      </c>
    </row>
    <row r="35" spans="1:22" hidden="1" x14ac:dyDescent="0.3">
      <c r="A35">
        <v>19</v>
      </c>
      <c r="B35" t="s">
        <v>33</v>
      </c>
      <c r="C35">
        <v>1</v>
      </c>
      <c r="F35">
        <v>67</v>
      </c>
      <c r="G35" t="s">
        <v>34</v>
      </c>
      <c r="H35" t="s">
        <v>35</v>
      </c>
      <c r="I35">
        <v>30</v>
      </c>
      <c r="J35" t="s">
        <v>36</v>
      </c>
      <c r="K35">
        <v>3</v>
      </c>
      <c r="L35" t="b">
        <v>1</v>
      </c>
      <c r="M35">
        <v>87</v>
      </c>
      <c r="N35" t="s">
        <v>37</v>
      </c>
    </row>
    <row r="36" spans="1:22" hidden="1" x14ac:dyDescent="0.3">
      <c r="A36">
        <v>19</v>
      </c>
      <c r="B36" t="s">
        <v>62</v>
      </c>
      <c r="C36">
        <v>1</v>
      </c>
      <c r="F36">
        <v>16</v>
      </c>
      <c r="G36" t="s">
        <v>39</v>
      </c>
      <c r="H36" t="s">
        <v>35</v>
      </c>
      <c r="I36">
        <v>3</v>
      </c>
      <c r="J36" t="s">
        <v>35</v>
      </c>
      <c r="K36">
        <v>19</v>
      </c>
      <c r="L36" t="b">
        <v>1</v>
      </c>
      <c r="M36">
        <v>17</v>
      </c>
      <c r="N36" t="s">
        <v>43</v>
      </c>
      <c r="U36" t="s">
        <v>41</v>
      </c>
    </row>
    <row r="37" spans="1:22" hidden="1" x14ac:dyDescent="0.3">
      <c r="A37">
        <v>20</v>
      </c>
      <c r="B37" t="s">
        <v>62</v>
      </c>
      <c r="C37">
        <v>1</v>
      </c>
      <c r="D37">
        <v>1</v>
      </c>
      <c r="E37">
        <v>10</v>
      </c>
      <c r="F37">
        <v>1</v>
      </c>
      <c r="G37" t="s">
        <v>42</v>
      </c>
      <c r="H37" t="s">
        <v>35</v>
      </c>
      <c r="I37">
        <v>19</v>
      </c>
      <c r="J37" t="s">
        <v>35</v>
      </c>
      <c r="K37">
        <v>20</v>
      </c>
      <c r="L37" t="b">
        <v>0</v>
      </c>
      <c r="M37">
        <v>49</v>
      </c>
      <c r="N37" t="s">
        <v>49</v>
      </c>
      <c r="Q37">
        <v>22</v>
      </c>
      <c r="R37" t="s">
        <v>46</v>
      </c>
      <c r="U37" t="s">
        <v>44</v>
      </c>
      <c r="V37" t="s">
        <v>63</v>
      </c>
    </row>
    <row r="38" spans="1:22" hidden="1" x14ac:dyDescent="0.3">
      <c r="A38">
        <v>20</v>
      </c>
      <c r="B38" t="s">
        <v>62</v>
      </c>
      <c r="C38">
        <v>1</v>
      </c>
      <c r="D38">
        <v>1</v>
      </c>
      <c r="E38">
        <v>10</v>
      </c>
      <c r="F38">
        <v>0</v>
      </c>
      <c r="G38" t="s">
        <v>39</v>
      </c>
      <c r="H38" t="s">
        <v>35</v>
      </c>
      <c r="I38">
        <v>28</v>
      </c>
      <c r="J38" t="s">
        <v>35</v>
      </c>
      <c r="K38">
        <v>28</v>
      </c>
      <c r="L38" t="b">
        <v>0</v>
      </c>
      <c r="M38">
        <v>49</v>
      </c>
      <c r="N38" t="s">
        <v>49</v>
      </c>
      <c r="Q38">
        <v>3</v>
      </c>
      <c r="R38" t="s">
        <v>46</v>
      </c>
      <c r="U38" t="s">
        <v>63</v>
      </c>
      <c r="V38" t="s">
        <v>69</v>
      </c>
    </row>
    <row r="39" spans="1:22" x14ac:dyDescent="0.3">
      <c r="A39">
        <v>21</v>
      </c>
      <c r="B39" t="s">
        <v>33</v>
      </c>
      <c r="C39">
        <v>1</v>
      </c>
      <c r="D39">
        <v>1</v>
      </c>
      <c r="E39">
        <v>10</v>
      </c>
      <c r="F39">
        <v>0</v>
      </c>
      <c r="G39" t="s">
        <v>42</v>
      </c>
      <c r="H39" t="s">
        <v>36</v>
      </c>
      <c r="I39">
        <v>28</v>
      </c>
      <c r="J39" t="s">
        <v>36</v>
      </c>
      <c r="K39">
        <v>28</v>
      </c>
      <c r="L39" t="b">
        <v>0</v>
      </c>
      <c r="M39">
        <v>22</v>
      </c>
      <c r="N39" t="s">
        <v>70</v>
      </c>
      <c r="Q39">
        <v>72</v>
      </c>
      <c r="R39" t="s">
        <v>54</v>
      </c>
    </row>
    <row r="40" spans="1:22" hidden="1" x14ac:dyDescent="0.3">
      <c r="A40">
        <v>21</v>
      </c>
      <c r="B40" t="s">
        <v>33</v>
      </c>
      <c r="C40">
        <v>1</v>
      </c>
      <c r="D40">
        <v>1</v>
      </c>
      <c r="E40">
        <v>10</v>
      </c>
      <c r="F40">
        <v>0</v>
      </c>
      <c r="G40" t="s">
        <v>50</v>
      </c>
      <c r="I40">
        <v>15</v>
      </c>
      <c r="L40" t="b">
        <v>0</v>
      </c>
      <c r="U40" t="s">
        <v>51</v>
      </c>
    </row>
    <row r="41" spans="1:22" hidden="1" x14ac:dyDescent="0.3">
      <c r="A41">
        <v>22</v>
      </c>
      <c r="B41" t="s">
        <v>33</v>
      </c>
      <c r="C41">
        <v>1</v>
      </c>
      <c r="D41">
        <v>1</v>
      </c>
      <c r="E41">
        <v>10</v>
      </c>
      <c r="F41">
        <v>0</v>
      </c>
      <c r="G41" t="s">
        <v>71</v>
      </c>
      <c r="H41" t="s">
        <v>36</v>
      </c>
      <c r="I41">
        <v>13</v>
      </c>
      <c r="J41" t="s">
        <v>36</v>
      </c>
      <c r="K41">
        <v>13</v>
      </c>
      <c r="L41" t="b">
        <v>0</v>
      </c>
      <c r="M41">
        <v>87</v>
      </c>
      <c r="N41" t="s">
        <v>53</v>
      </c>
      <c r="O41">
        <v>16</v>
      </c>
      <c r="P41" t="s">
        <v>61</v>
      </c>
    </row>
    <row r="42" spans="1:22" x14ac:dyDescent="0.3">
      <c r="A42">
        <v>23</v>
      </c>
      <c r="B42" t="s">
        <v>33</v>
      </c>
      <c r="C42">
        <v>1</v>
      </c>
      <c r="D42">
        <v>2</v>
      </c>
      <c r="E42">
        <v>10</v>
      </c>
      <c r="F42">
        <v>0</v>
      </c>
      <c r="G42" t="s">
        <v>42</v>
      </c>
      <c r="H42" t="s">
        <v>36</v>
      </c>
      <c r="I42">
        <v>13</v>
      </c>
      <c r="J42" t="s">
        <v>36</v>
      </c>
      <c r="K42">
        <v>13</v>
      </c>
      <c r="L42" t="b">
        <v>0</v>
      </c>
      <c r="M42">
        <v>22</v>
      </c>
      <c r="N42" t="s">
        <v>43</v>
      </c>
      <c r="Q42">
        <v>3</v>
      </c>
      <c r="R42" t="s">
        <v>46</v>
      </c>
    </row>
    <row r="43" spans="1:22" hidden="1" x14ac:dyDescent="0.3">
      <c r="A43">
        <v>24</v>
      </c>
      <c r="B43" t="s">
        <v>33</v>
      </c>
      <c r="C43">
        <v>1</v>
      </c>
      <c r="D43">
        <v>3</v>
      </c>
      <c r="E43">
        <v>10</v>
      </c>
      <c r="F43">
        <v>0</v>
      </c>
      <c r="G43" t="s">
        <v>50</v>
      </c>
      <c r="I43">
        <v>10</v>
      </c>
      <c r="L43" t="b">
        <v>0</v>
      </c>
      <c r="U43" t="s">
        <v>68</v>
      </c>
    </row>
    <row r="44" spans="1:22" x14ac:dyDescent="0.3">
      <c r="A44">
        <v>25</v>
      </c>
      <c r="B44" t="s">
        <v>33</v>
      </c>
      <c r="C44">
        <v>1</v>
      </c>
      <c r="D44">
        <v>3</v>
      </c>
      <c r="E44">
        <v>20</v>
      </c>
      <c r="F44">
        <v>20</v>
      </c>
      <c r="G44" t="s">
        <v>42</v>
      </c>
      <c r="H44" t="s">
        <v>36</v>
      </c>
      <c r="I44">
        <v>23</v>
      </c>
      <c r="J44" t="s">
        <v>36</v>
      </c>
      <c r="K44">
        <v>3</v>
      </c>
      <c r="L44" t="b">
        <v>0</v>
      </c>
      <c r="M44">
        <v>87</v>
      </c>
      <c r="N44" t="s">
        <v>53</v>
      </c>
      <c r="Q44">
        <v>3</v>
      </c>
      <c r="R44" t="s">
        <v>46</v>
      </c>
    </row>
    <row r="45" spans="1:22" hidden="1" x14ac:dyDescent="0.3">
      <c r="A45">
        <v>26</v>
      </c>
      <c r="B45" t="s">
        <v>33</v>
      </c>
      <c r="C45">
        <v>1</v>
      </c>
      <c r="D45">
        <v>1</v>
      </c>
      <c r="E45">
        <v>3</v>
      </c>
      <c r="F45">
        <v>3</v>
      </c>
      <c r="G45" t="s">
        <v>72</v>
      </c>
      <c r="H45" t="s">
        <v>36</v>
      </c>
      <c r="I45">
        <v>3</v>
      </c>
      <c r="J45" t="s">
        <v>36</v>
      </c>
      <c r="K45">
        <v>0</v>
      </c>
      <c r="L45" t="b">
        <v>0</v>
      </c>
      <c r="M45">
        <v>9</v>
      </c>
      <c r="N45" t="s">
        <v>43</v>
      </c>
      <c r="O45">
        <v>16</v>
      </c>
      <c r="P45" t="s">
        <v>61</v>
      </c>
      <c r="U45" t="s">
        <v>65</v>
      </c>
    </row>
    <row r="46" spans="1:22" hidden="1" x14ac:dyDescent="0.3">
      <c r="A46">
        <v>27</v>
      </c>
      <c r="B46" t="s">
        <v>33</v>
      </c>
      <c r="C46">
        <v>1</v>
      </c>
      <c r="F46">
        <v>0</v>
      </c>
      <c r="G46" t="s">
        <v>73</v>
      </c>
      <c r="L46" t="b">
        <v>0</v>
      </c>
      <c r="M46">
        <v>87</v>
      </c>
      <c r="N46" t="s">
        <v>53</v>
      </c>
      <c r="Q46">
        <v>58</v>
      </c>
      <c r="R46" t="s">
        <v>52</v>
      </c>
      <c r="U46" t="s">
        <v>74</v>
      </c>
    </row>
    <row r="47" spans="1:22" hidden="1" x14ac:dyDescent="0.3">
      <c r="A47">
        <v>28</v>
      </c>
      <c r="B47" t="s">
        <v>33</v>
      </c>
      <c r="C47">
        <v>1</v>
      </c>
      <c r="F47">
        <v>62</v>
      </c>
      <c r="G47" t="s">
        <v>34</v>
      </c>
      <c r="H47" t="s">
        <v>35</v>
      </c>
      <c r="I47">
        <v>35</v>
      </c>
      <c r="J47" t="s">
        <v>36</v>
      </c>
      <c r="K47">
        <v>3</v>
      </c>
      <c r="L47" t="b">
        <v>1</v>
      </c>
      <c r="M47">
        <v>87</v>
      </c>
      <c r="N47" t="s">
        <v>37</v>
      </c>
    </row>
    <row r="48" spans="1:22" hidden="1" x14ac:dyDescent="0.3">
      <c r="A48">
        <v>28</v>
      </c>
      <c r="B48" t="s">
        <v>38</v>
      </c>
      <c r="C48">
        <v>1</v>
      </c>
      <c r="F48">
        <v>14</v>
      </c>
      <c r="G48" t="s">
        <v>39</v>
      </c>
      <c r="H48" t="s">
        <v>35</v>
      </c>
      <c r="I48">
        <v>3</v>
      </c>
      <c r="J48" t="s">
        <v>35</v>
      </c>
      <c r="K48">
        <v>17</v>
      </c>
      <c r="L48" t="b">
        <v>1</v>
      </c>
      <c r="M48">
        <v>3</v>
      </c>
      <c r="N48" t="s">
        <v>43</v>
      </c>
      <c r="U48" t="s">
        <v>41</v>
      </c>
    </row>
    <row r="49" spans="1:22" hidden="1" x14ac:dyDescent="0.3">
      <c r="A49">
        <v>29</v>
      </c>
      <c r="B49" t="s">
        <v>38</v>
      </c>
      <c r="C49">
        <v>1</v>
      </c>
      <c r="D49">
        <v>1</v>
      </c>
      <c r="E49">
        <v>10</v>
      </c>
      <c r="F49">
        <v>-1</v>
      </c>
      <c r="G49" t="s">
        <v>42</v>
      </c>
      <c r="H49" t="s">
        <v>35</v>
      </c>
      <c r="I49">
        <v>17</v>
      </c>
      <c r="J49" t="s">
        <v>35</v>
      </c>
      <c r="K49">
        <v>16</v>
      </c>
      <c r="L49" t="b">
        <v>0</v>
      </c>
      <c r="M49">
        <v>49</v>
      </c>
      <c r="N49" t="s">
        <v>49</v>
      </c>
      <c r="Q49">
        <v>78</v>
      </c>
      <c r="R49" t="s">
        <v>54</v>
      </c>
      <c r="U49" t="s">
        <v>55</v>
      </c>
    </row>
    <row r="50" spans="1:22" hidden="1" x14ac:dyDescent="0.3">
      <c r="A50">
        <v>30</v>
      </c>
      <c r="B50" t="s">
        <v>38</v>
      </c>
      <c r="C50">
        <v>1</v>
      </c>
      <c r="D50">
        <v>2</v>
      </c>
      <c r="E50">
        <v>11</v>
      </c>
      <c r="F50">
        <v>25</v>
      </c>
      <c r="G50" t="s">
        <v>42</v>
      </c>
      <c r="H50" t="s">
        <v>35</v>
      </c>
      <c r="I50">
        <v>16</v>
      </c>
      <c r="J50" t="s">
        <v>35</v>
      </c>
      <c r="K50">
        <v>41</v>
      </c>
      <c r="L50" t="b">
        <v>0</v>
      </c>
      <c r="M50">
        <v>25</v>
      </c>
      <c r="N50" t="s">
        <v>49</v>
      </c>
      <c r="Q50">
        <v>25</v>
      </c>
      <c r="R50" t="s">
        <v>46</v>
      </c>
      <c r="S50">
        <v>4</v>
      </c>
      <c r="T50" t="s">
        <v>54</v>
      </c>
    </row>
    <row r="51" spans="1:22" hidden="1" x14ac:dyDescent="0.3">
      <c r="A51">
        <v>31</v>
      </c>
      <c r="B51" t="s">
        <v>38</v>
      </c>
      <c r="C51">
        <v>1</v>
      </c>
      <c r="D51">
        <v>1</v>
      </c>
      <c r="E51">
        <v>10</v>
      </c>
      <c r="F51">
        <v>1</v>
      </c>
      <c r="G51" t="s">
        <v>42</v>
      </c>
      <c r="H51" t="s">
        <v>35</v>
      </c>
      <c r="I51">
        <v>41</v>
      </c>
      <c r="J51" t="s">
        <v>35</v>
      </c>
      <c r="K51">
        <v>42</v>
      </c>
      <c r="L51" t="b">
        <v>0</v>
      </c>
      <c r="M51">
        <v>8</v>
      </c>
      <c r="N51" t="s">
        <v>49</v>
      </c>
      <c r="Q51">
        <v>78</v>
      </c>
      <c r="R51" t="s">
        <v>54</v>
      </c>
    </row>
    <row r="52" spans="1:22" hidden="1" x14ac:dyDescent="0.3">
      <c r="A52">
        <v>32</v>
      </c>
      <c r="B52" t="s">
        <v>38</v>
      </c>
      <c r="C52">
        <v>1</v>
      </c>
      <c r="D52">
        <v>2</v>
      </c>
      <c r="E52">
        <v>9</v>
      </c>
      <c r="F52">
        <v>27</v>
      </c>
      <c r="G52" t="s">
        <v>72</v>
      </c>
      <c r="H52" t="s">
        <v>35</v>
      </c>
      <c r="I52">
        <v>42</v>
      </c>
      <c r="J52" t="s">
        <v>36</v>
      </c>
      <c r="K52">
        <v>31</v>
      </c>
      <c r="L52" t="b">
        <v>0</v>
      </c>
      <c r="M52">
        <v>99</v>
      </c>
      <c r="N52" t="s">
        <v>53</v>
      </c>
      <c r="O52">
        <v>9</v>
      </c>
      <c r="P52" t="s">
        <v>61</v>
      </c>
      <c r="Q52">
        <v>5</v>
      </c>
      <c r="R52" t="s">
        <v>46</v>
      </c>
    </row>
    <row r="53" spans="1:22" hidden="1" x14ac:dyDescent="0.3">
      <c r="A53">
        <v>33</v>
      </c>
      <c r="B53" t="s">
        <v>38</v>
      </c>
      <c r="C53">
        <v>1</v>
      </c>
      <c r="D53">
        <v>1</v>
      </c>
      <c r="E53">
        <v>10</v>
      </c>
      <c r="F53">
        <v>0</v>
      </c>
      <c r="G53" t="s">
        <v>42</v>
      </c>
      <c r="H53" t="s">
        <v>36</v>
      </c>
      <c r="I53">
        <v>31</v>
      </c>
      <c r="J53" t="s">
        <v>36</v>
      </c>
      <c r="K53">
        <v>31</v>
      </c>
      <c r="L53" t="b">
        <v>0</v>
      </c>
      <c r="M53">
        <v>1</v>
      </c>
      <c r="N53" t="s">
        <v>43</v>
      </c>
      <c r="Q53">
        <v>27</v>
      </c>
      <c r="R53" t="s">
        <v>52</v>
      </c>
    </row>
    <row r="54" spans="1:22" hidden="1" x14ac:dyDescent="0.3">
      <c r="A54">
        <v>34</v>
      </c>
      <c r="B54" t="s">
        <v>38</v>
      </c>
      <c r="C54">
        <v>1</v>
      </c>
      <c r="D54">
        <v>2</v>
      </c>
      <c r="E54">
        <v>10</v>
      </c>
      <c r="F54">
        <v>-1</v>
      </c>
      <c r="G54" t="s">
        <v>72</v>
      </c>
      <c r="H54" t="s">
        <v>36</v>
      </c>
      <c r="I54">
        <v>31</v>
      </c>
      <c r="J54" t="s">
        <v>36</v>
      </c>
      <c r="K54">
        <v>32</v>
      </c>
      <c r="L54" t="b">
        <v>0</v>
      </c>
      <c r="M54">
        <v>1</v>
      </c>
      <c r="N54" t="s">
        <v>43</v>
      </c>
      <c r="O54">
        <v>9</v>
      </c>
      <c r="P54" t="s">
        <v>61</v>
      </c>
    </row>
    <row r="55" spans="1:22" hidden="1" x14ac:dyDescent="0.3">
      <c r="A55">
        <v>35</v>
      </c>
      <c r="B55" t="s">
        <v>38</v>
      </c>
      <c r="C55">
        <v>2</v>
      </c>
      <c r="D55">
        <v>3</v>
      </c>
      <c r="E55">
        <v>11</v>
      </c>
      <c r="F55">
        <v>0</v>
      </c>
      <c r="G55" t="s">
        <v>50</v>
      </c>
      <c r="I55">
        <v>5</v>
      </c>
      <c r="L55" t="b">
        <v>0</v>
      </c>
      <c r="U55" t="s">
        <v>51</v>
      </c>
    </row>
    <row r="56" spans="1:22" hidden="1" x14ac:dyDescent="0.3">
      <c r="A56">
        <v>36</v>
      </c>
      <c r="B56" t="s">
        <v>38</v>
      </c>
      <c r="C56">
        <v>2</v>
      </c>
      <c r="D56">
        <v>3</v>
      </c>
      <c r="E56">
        <v>16</v>
      </c>
      <c r="F56">
        <v>0</v>
      </c>
      <c r="G56" t="s">
        <v>71</v>
      </c>
      <c r="H56" t="s">
        <v>36</v>
      </c>
      <c r="I56">
        <v>37</v>
      </c>
      <c r="J56" t="s">
        <v>36</v>
      </c>
      <c r="K56">
        <v>37</v>
      </c>
      <c r="L56" t="b">
        <v>0</v>
      </c>
      <c r="M56">
        <v>2</v>
      </c>
      <c r="N56" t="s">
        <v>43</v>
      </c>
      <c r="O56">
        <v>9</v>
      </c>
      <c r="P56" t="s">
        <v>61</v>
      </c>
    </row>
    <row r="57" spans="1:22" hidden="1" x14ac:dyDescent="0.3">
      <c r="A57">
        <v>37</v>
      </c>
      <c r="B57" t="s">
        <v>38</v>
      </c>
      <c r="C57">
        <v>2</v>
      </c>
      <c r="D57">
        <v>4</v>
      </c>
      <c r="E57">
        <v>16</v>
      </c>
      <c r="F57">
        <v>37</v>
      </c>
      <c r="G57" t="s">
        <v>56</v>
      </c>
      <c r="H57" t="s">
        <v>36</v>
      </c>
      <c r="I57">
        <v>37</v>
      </c>
      <c r="J57" t="s">
        <v>36</v>
      </c>
      <c r="K57">
        <v>0</v>
      </c>
      <c r="L57" t="b">
        <v>1</v>
      </c>
      <c r="M57">
        <v>99</v>
      </c>
      <c r="N57" t="s">
        <v>57</v>
      </c>
    </row>
    <row r="58" spans="1:22" x14ac:dyDescent="0.3">
      <c r="A58">
        <v>38</v>
      </c>
      <c r="B58" t="s">
        <v>33</v>
      </c>
      <c r="C58">
        <v>2</v>
      </c>
      <c r="D58">
        <v>1</v>
      </c>
      <c r="E58">
        <v>10</v>
      </c>
      <c r="F58">
        <v>-1</v>
      </c>
      <c r="G58" t="s">
        <v>45</v>
      </c>
      <c r="H58" t="s">
        <v>35</v>
      </c>
      <c r="I58">
        <v>20</v>
      </c>
      <c r="J58" t="s">
        <v>35</v>
      </c>
      <c r="K58">
        <v>19</v>
      </c>
      <c r="L58" t="b">
        <v>1</v>
      </c>
      <c r="M58">
        <v>47</v>
      </c>
      <c r="N58" t="s">
        <v>49</v>
      </c>
      <c r="Q58">
        <v>57</v>
      </c>
      <c r="R58" t="s">
        <v>52</v>
      </c>
      <c r="S58">
        <v>58</v>
      </c>
      <c r="T58" t="s">
        <v>54</v>
      </c>
      <c r="U58" t="s">
        <v>55</v>
      </c>
    </row>
    <row r="59" spans="1:22" hidden="1" x14ac:dyDescent="0.3">
      <c r="A59">
        <v>39</v>
      </c>
      <c r="B59" t="s">
        <v>33</v>
      </c>
      <c r="C59">
        <v>2</v>
      </c>
      <c r="D59">
        <v>2</v>
      </c>
      <c r="E59">
        <v>11</v>
      </c>
      <c r="F59">
        <v>0</v>
      </c>
      <c r="G59" t="s">
        <v>71</v>
      </c>
      <c r="H59" t="s">
        <v>35</v>
      </c>
      <c r="I59">
        <v>19</v>
      </c>
      <c r="J59" t="s">
        <v>35</v>
      </c>
      <c r="K59">
        <v>19</v>
      </c>
      <c r="L59" t="b">
        <v>0</v>
      </c>
      <c r="M59">
        <v>9</v>
      </c>
      <c r="N59" t="s">
        <v>43</v>
      </c>
      <c r="O59">
        <v>16</v>
      </c>
      <c r="P59" t="s">
        <v>61</v>
      </c>
    </row>
    <row r="60" spans="1:22" x14ac:dyDescent="0.3">
      <c r="A60">
        <v>40</v>
      </c>
      <c r="B60" t="s">
        <v>33</v>
      </c>
      <c r="C60">
        <v>2</v>
      </c>
      <c r="D60">
        <v>3</v>
      </c>
      <c r="E60">
        <v>11</v>
      </c>
      <c r="F60">
        <v>-6</v>
      </c>
      <c r="G60" t="s">
        <v>42</v>
      </c>
      <c r="H60" t="s">
        <v>35</v>
      </c>
      <c r="I60">
        <v>19</v>
      </c>
      <c r="J60" t="s">
        <v>35</v>
      </c>
      <c r="K60">
        <v>13</v>
      </c>
      <c r="L60" t="b">
        <v>0</v>
      </c>
      <c r="M60">
        <v>25</v>
      </c>
      <c r="N60" t="s">
        <v>43</v>
      </c>
      <c r="Q60">
        <v>3</v>
      </c>
      <c r="R60" t="s">
        <v>46</v>
      </c>
      <c r="U60" t="s">
        <v>55</v>
      </c>
    </row>
    <row r="61" spans="1:22" hidden="1" x14ac:dyDescent="0.3">
      <c r="A61">
        <v>41</v>
      </c>
      <c r="B61" t="s">
        <v>33</v>
      </c>
      <c r="C61">
        <v>2</v>
      </c>
      <c r="D61">
        <v>4</v>
      </c>
      <c r="E61">
        <v>17</v>
      </c>
      <c r="F61">
        <v>46</v>
      </c>
      <c r="G61" t="s">
        <v>75</v>
      </c>
      <c r="H61" t="s">
        <v>35</v>
      </c>
      <c r="I61">
        <v>13</v>
      </c>
      <c r="J61" t="s">
        <v>36</v>
      </c>
      <c r="K61">
        <v>41</v>
      </c>
      <c r="L61" t="b">
        <v>0</v>
      </c>
      <c r="M61">
        <v>27</v>
      </c>
      <c r="N61" t="s">
        <v>57</v>
      </c>
    </row>
    <row r="62" spans="1:22" hidden="1" x14ac:dyDescent="0.3">
      <c r="A62">
        <v>41</v>
      </c>
      <c r="B62" t="s">
        <v>38</v>
      </c>
      <c r="C62">
        <v>2</v>
      </c>
      <c r="D62">
        <v>4</v>
      </c>
      <c r="E62">
        <v>17</v>
      </c>
      <c r="F62">
        <v>6</v>
      </c>
      <c r="G62" t="s">
        <v>39</v>
      </c>
      <c r="H62" t="s">
        <v>35</v>
      </c>
      <c r="I62">
        <v>41</v>
      </c>
      <c r="J62" t="s">
        <v>35</v>
      </c>
      <c r="K62">
        <v>47</v>
      </c>
      <c r="L62" t="b">
        <v>0</v>
      </c>
      <c r="M62">
        <v>3</v>
      </c>
      <c r="N62" t="s">
        <v>43</v>
      </c>
      <c r="U62" t="s">
        <v>75</v>
      </c>
    </row>
    <row r="63" spans="1:22" hidden="1" x14ac:dyDescent="0.3">
      <c r="A63">
        <v>42</v>
      </c>
      <c r="B63" t="s">
        <v>38</v>
      </c>
      <c r="C63">
        <v>2</v>
      </c>
      <c r="D63">
        <v>1</v>
      </c>
      <c r="E63">
        <v>10</v>
      </c>
      <c r="F63">
        <v>-11</v>
      </c>
      <c r="G63" t="s">
        <v>42</v>
      </c>
      <c r="H63" t="s">
        <v>35</v>
      </c>
      <c r="I63">
        <v>47</v>
      </c>
      <c r="J63" t="s">
        <v>35</v>
      </c>
      <c r="K63">
        <v>36</v>
      </c>
      <c r="L63" t="b">
        <v>0</v>
      </c>
      <c r="M63">
        <v>9</v>
      </c>
      <c r="N63" t="s">
        <v>61</v>
      </c>
      <c r="Q63">
        <v>47</v>
      </c>
      <c r="R63" t="s">
        <v>54</v>
      </c>
      <c r="U63" t="s">
        <v>44</v>
      </c>
      <c r="V63" t="s">
        <v>48</v>
      </c>
    </row>
    <row r="64" spans="1:22" hidden="1" x14ac:dyDescent="0.3">
      <c r="A64">
        <v>42</v>
      </c>
      <c r="B64" t="s">
        <v>38</v>
      </c>
      <c r="C64">
        <v>2</v>
      </c>
      <c r="D64">
        <v>1</v>
      </c>
      <c r="E64">
        <v>10</v>
      </c>
      <c r="F64">
        <v>0</v>
      </c>
      <c r="G64" t="s">
        <v>45</v>
      </c>
      <c r="H64" t="s">
        <v>35</v>
      </c>
      <c r="I64">
        <v>31</v>
      </c>
      <c r="J64" t="s">
        <v>35</v>
      </c>
      <c r="K64">
        <v>31</v>
      </c>
      <c r="L64" t="b">
        <v>0</v>
      </c>
      <c r="M64">
        <v>1</v>
      </c>
      <c r="N64" t="s">
        <v>43</v>
      </c>
      <c r="U64" t="s">
        <v>47</v>
      </c>
    </row>
    <row r="65" spans="1:21" hidden="1" x14ac:dyDescent="0.3">
      <c r="A65">
        <v>43</v>
      </c>
      <c r="B65" t="s">
        <v>38</v>
      </c>
      <c r="C65">
        <v>2</v>
      </c>
      <c r="D65">
        <v>2</v>
      </c>
      <c r="E65">
        <v>26</v>
      </c>
      <c r="F65">
        <v>0</v>
      </c>
      <c r="G65" t="s">
        <v>50</v>
      </c>
      <c r="I65">
        <v>5</v>
      </c>
      <c r="L65" t="b">
        <v>0</v>
      </c>
      <c r="U65" t="s">
        <v>51</v>
      </c>
    </row>
    <row r="66" spans="1:21" hidden="1" x14ac:dyDescent="0.3">
      <c r="A66">
        <v>44</v>
      </c>
      <c r="B66" t="s">
        <v>38</v>
      </c>
      <c r="C66">
        <v>2</v>
      </c>
      <c r="D66">
        <v>2</v>
      </c>
      <c r="E66">
        <v>31</v>
      </c>
      <c r="F66">
        <v>-3</v>
      </c>
      <c r="G66" t="s">
        <v>45</v>
      </c>
      <c r="H66" t="s">
        <v>35</v>
      </c>
      <c r="I66">
        <v>26</v>
      </c>
      <c r="J66" t="s">
        <v>35</v>
      </c>
      <c r="K66">
        <v>23</v>
      </c>
      <c r="L66" t="b">
        <v>0</v>
      </c>
      <c r="M66">
        <v>8</v>
      </c>
      <c r="N66" t="s">
        <v>49</v>
      </c>
      <c r="Q66">
        <v>48</v>
      </c>
      <c r="R66" t="s">
        <v>54</v>
      </c>
      <c r="U66" t="s">
        <v>55</v>
      </c>
    </row>
    <row r="67" spans="1:21" hidden="1" x14ac:dyDescent="0.3">
      <c r="A67">
        <v>45</v>
      </c>
      <c r="B67" t="s">
        <v>38</v>
      </c>
      <c r="C67">
        <v>2</v>
      </c>
      <c r="D67">
        <v>3</v>
      </c>
      <c r="E67">
        <v>34</v>
      </c>
      <c r="F67">
        <v>13</v>
      </c>
      <c r="G67" t="s">
        <v>42</v>
      </c>
      <c r="H67" t="s">
        <v>35</v>
      </c>
      <c r="I67">
        <v>23</v>
      </c>
      <c r="J67" t="s">
        <v>35</v>
      </c>
      <c r="K67">
        <v>36</v>
      </c>
      <c r="L67" t="b">
        <v>0</v>
      </c>
      <c r="M67">
        <v>17</v>
      </c>
      <c r="N67" t="s">
        <v>43</v>
      </c>
      <c r="Q67">
        <v>25</v>
      </c>
      <c r="R67" t="s">
        <v>46</v>
      </c>
    </row>
    <row r="68" spans="1:21" hidden="1" x14ac:dyDescent="0.3">
      <c r="A68">
        <v>45</v>
      </c>
      <c r="B68" t="s">
        <v>38</v>
      </c>
      <c r="C68">
        <v>2</v>
      </c>
      <c r="D68">
        <v>3</v>
      </c>
      <c r="E68">
        <v>34</v>
      </c>
      <c r="F68">
        <v>0</v>
      </c>
      <c r="G68" t="s">
        <v>50</v>
      </c>
      <c r="I68">
        <v>10</v>
      </c>
      <c r="L68" t="b">
        <v>0</v>
      </c>
      <c r="U68" t="s">
        <v>76</v>
      </c>
    </row>
    <row r="69" spans="1:21" hidden="1" x14ac:dyDescent="0.3">
      <c r="A69">
        <v>46</v>
      </c>
      <c r="B69" t="s">
        <v>38</v>
      </c>
      <c r="C69">
        <v>2</v>
      </c>
      <c r="D69">
        <v>3</v>
      </c>
      <c r="E69">
        <v>31</v>
      </c>
      <c r="F69">
        <v>0</v>
      </c>
      <c r="G69" t="s">
        <v>50</v>
      </c>
      <c r="I69">
        <v>15</v>
      </c>
      <c r="L69" t="b">
        <v>0</v>
      </c>
      <c r="U69" t="s">
        <v>77</v>
      </c>
    </row>
    <row r="70" spans="1:21" hidden="1" x14ac:dyDescent="0.3">
      <c r="A70">
        <v>47</v>
      </c>
      <c r="B70" t="s">
        <v>38</v>
      </c>
      <c r="C70">
        <v>2</v>
      </c>
      <c r="D70">
        <v>1</v>
      </c>
      <c r="E70">
        <v>10</v>
      </c>
      <c r="F70">
        <v>1</v>
      </c>
      <c r="G70" t="s">
        <v>42</v>
      </c>
      <c r="H70" t="s">
        <v>35</v>
      </c>
      <c r="I70">
        <v>39</v>
      </c>
      <c r="J70" t="s">
        <v>35</v>
      </c>
      <c r="K70">
        <v>40</v>
      </c>
      <c r="L70" t="b">
        <v>0</v>
      </c>
      <c r="M70">
        <v>9</v>
      </c>
      <c r="N70" t="s">
        <v>61</v>
      </c>
      <c r="Q70">
        <v>48</v>
      </c>
      <c r="R70" t="s">
        <v>54</v>
      </c>
      <c r="S70">
        <v>78</v>
      </c>
      <c r="T70" t="s">
        <v>54</v>
      </c>
    </row>
    <row r="71" spans="1:21" hidden="1" x14ac:dyDescent="0.3">
      <c r="A71">
        <v>48</v>
      </c>
      <c r="B71" t="s">
        <v>38</v>
      </c>
      <c r="C71">
        <v>2</v>
      </c>
      <c r="D71">
        <v>2</v>
      </c>
      <c r="E71">
        <v>9</v>
      </c>
      <c r="F71">
        <v>-5</v>
      </c>
      <c r="G71" t="s">
        <v>72</v>
      </c>
      <c r="H71" t="s">
        <v>35</v>
      </c>
      <c r="I71">
        <v>40</v>
      </c>
      <c r="J71" t="s">
        <v>35</v>
      </c>
      <c r="K71">
        <v>35</v>
      </c>
      <c r="L71" t="b">
        <v>0</v>
      </c>
      <c r="M71">
        <v>22</v>
      </c>
      <c r="N71" t="s">
        <v>49</v>
      </c>
      <c r="O71">
        <v>9</v>
      </c>
      <c r="P71" t="s">
        <v>61</v>
      </c>
    </row>
    <row r="72" spans="1:21" hidden="1" x14ac:dyDescent="0.3">
      <c r="A72">
        <v>49</v>
      </c>
      <c r="B72" t="s">
        <v>38</v>
      </c>
      <c r="C72">
        <v>2</v>
      </c>
      <c r="D72">
        <v>3</v>
      </c>
      <c r="E72">
        <v>14</v>
      </c>
      <c r="F72">
        <v>6</v>
      </c>
      <c r="G72" t="s">
        <v>72</v>
      </c>
      <c r="H72" t="s">
        <v>35</v>
      </c>
      <c r="I72">
        <v>35</v>
      </c>
      <c r="J72" t="s">
        <v>35</v>
      </c>
      <c r="K72">
        <v>41</v>
      </c>
      <c r="L72" t="b">
        <v>0</v>
      </c>
      <c r="M72">
        <v>3</v>
      </c>
      <c r="N72" t="s">
        <v>43</v>
      </c>
      <c r="O72">
        <v>9</v>
      </c>
      <c r="P72" t="s">
        <v>61</v>
      </c>
      <c r="Q72">
        <v>27</v>
      </c>
      <c r="R72" t="s">
        <v>52</v>
      </c>
    </row>
    <row r="73" spans="1:21" hidden="1" x14ac:dyDescent="0.3">
      <c r="A73">
        <v>50</v>
      </c>
      <c r="B73" t="s">
        <v>38</v>
      </c>
      <c r="C73">
        <v>2</v>
      </c>
      <c r="D73">
        <v>4</v>
      </c>
      <c r="E73">
        <v>8</v>
      </c>
      <c r="F73">
        <v>61</v>
      </c>
      <c r="G73" t="s">
        <v>56</v>
      </c>
      <c r="H73" t="s">
        <v>35</v>
      </c>
      <c r="I73">
        <v>35</v>
      </c>
      <c r="J73" t="s">
        <v>36</v>
      </c>
      <c r="K73">
        <v>4</v>
      </c>
      <c r="L73" t="b">
        <v>1</v>
      </c>
      <c r="M73">
        <v>99</v>
      </c>
      <c r="N73" t="s">
        <v>57</v>
      </c>
    </row>
    <row r="74" spans="1:21" x14ac:dyDescent="0.3">
      <c r="A74">
        <v>51</v>
      </c>
      <c r="B74" t="s">
        <v>33</v>
      </c>
      <c r="C74">
        <v>2</v>
      </c>
      <c r="D74">
        <v>1</v>
      </c>
      <c r="E74">
        <v>10</v>
      </c>
      <c r="F74">
        <v>1</v>
      </c>
      <c r="G74" t="s">
        <v>42</v>
      </c>
      <c r="H74" t="s">
        <v>35</v>
      </c>
      <c r="I74">
        <v>4</v>
      </c>
      <c r="J74" t="s">
        <v>35</v>
      </c>
      <c r="K74">
        <v>5</v>
      </c>
      <c r="L74" t="b">
        <v>0</v>
      </c>
      <c r="M74">
        <v>47</v>
      </c>
      <c r="N74" t="s">
        <v>49</v>
      </c>
      <c r="Q74">
        <v>66</v>
      </c>
      <c r="R74" t="s">
        <v>54</v>
      </c>
    </row>
    <row r="75" spans="1:21" hidden="1" x14ac:dyDescent="0.3">
      <c r="A75">
        <v>52</v>
      </c>
      <c r="B75" t="s">
        <v>33</v>
      </c>
      <c r="C75">
        <v>2</v>
      </c>
      <c r="D75">
        <v>2</v>
      </c>
      <c r="E75">
        <v>9</v>
      </c>
      <c r="F75">
        <v>0</v>
      </c>
      <c r="G75" t="s">
        <v>71</v>
      </c>
      <c r="H75" t="s">
        <v>35</v>
      </c>
      <c r="I75">
        <v>5</v>
      </c>
      <c r="J75" t="s">
        <v>35</v>
      </c>
      <c r="K75">
        <v>5</v>
      </c>
      <c r="L75" t="b">
        <v>0</v>
      </c>
      <c r="M75">
        <v>7</v>
      </c>
      <c r="N75" t="s">
        <v>43</v>
      </c>
      <c r="O75">
        <v>16</v>
      </c>
      <c r="P75" t="s">
        <v>61</v>
      </c>
      <c r="Q75">
        <v>22</v>
      </c>
      <c r="R75" t="s">
        <v>52</v>
      </c>
    </row>
    <row r="76" spans="1:21" x14ac:dyDescent="0.3">
      <c r="A76">
        <v>53</v>
      </c>
      <c r="B76" t="s">
        <v>33</v>
      </c>
      <c r="C76">
        <v>2</v>
      </c>
      <c r="D76">
        <v>3</v>
      </c>
      <c r="E76">
        <v>9</v>
      </c>
      <c r="F76">
        <v>71</v>
      </c>
      <c r="G76" t="s">
        <v>42</v>
      </c>
      <c r="H76" t="s">
        <v>35</v>
      </c>
      <c r="I76">
        <v>5</v>
      </c>
      <c r="J76" t="s">
        <v>36</v>
      </c>
      <c r="K76">
        <v>24</v>
      </c>
      <c r="L76" t="b">
        <v>0</v>
      </c>
      <c r="M76">
        <v>22</v>
      </c>
      <c r="N76" t="s">
        <v>43</v>
      </c>
      <c r="Q76">
        <v>22</v>
      </c>
      <c r="R76" t="s">
        <v>52</v>
      </c>
    </row>
    <row r="77" spans="1:21" x14ac:dyDescent="0.3">
      <c r="A77">
        <v>54</v>
      </c>
      <c r="B77" t="s">
        <v>33</v>
      </c>
      <c r="C77">
        <v>2</v>
      </c>
      <c r="D77">
        <v>1</v>
      </c>
      <c r="E77">
        <v>10</v>
      </c>
      <c r="F77">
        <v>4</v>
      </c>
      <c r="G77" t="s">
        <v>42</v>
      </c>
      <c r="H77" t="s">
        <v>36</v>
      </c>
      <c r="I77">
        <v>24</v>
      </c>
      <c r="J77" t="s">
        <v>36</v>
      </c>
      <c r="K77">
        <v>20</v>
      </c>
      <c r="L77" t="b">
        <v>0</v>
      </c>
      <c r="M77">
        <v>16</v>
      </c>
      <c r="N77" t="s">
        <v>61</v>
      </c>
      <c r="Q77">
        <v>66</v>
      </c>
      <c r="R77" t="s">
        <v>54</v>
      </c>
    </row>
    <row r="78" spans="1:21" hidden="1" x14ac:dyDescent="0.3">
      <c r="A78">
        <v>55</v>
      </c>
      <c r="B78" t="s">
        <v>33</v>
      </c>
      <c r="C78">
        <v>2</v>
      </c>
      <c r="D78">
        <v>2</v>
      </c>
      <c r="E78">
        <v>17</v>
      </c>
      <c r="F78">
        <v>0</v>
      </c>
      <c r="G78" t="s">
        <v>71</v>
      </c>
      <c r="H78" t="s">
        <v>78</v>
      </c>
      <c r="I78">
        <v>31</v>
      </c>
      <c r="J78" t="s">
        <v>78</v>
      </c>
      <c r="K78">
        <v>31</v>
      </c>
      <c r="L78" t="b">
        <v>0</v>
      </c>
      <c r="M78">
        <v>22</v>
      </c>
      <c r="N78" t="s">
        <v>43</v>
      </c>
      <c r="O78">
        <v>16</v>
      </c>
      <c r="P78" t="s">
        <v>61</v>
      </c>
    </row>
    <row r="79" spans="1:21" x14ac:dyDescent="0.3">
      <c r="A79">
        <v>56</v>
      </c>
      <c r="B79" t="s">
        <v>33</v>
      </c>
      <c r="C79">
        <v>2</v>
      </c>
      <c r="D79">
        <v>3</v>
      </c>
      <c r="E79">
        <v>17</v>
      </c>
      <c r="F79">
        <v>3</v>
      </c>
      <c r="G79" t="s">
        <v>42</v>
      </c>
      <c r="H79" t="s">
        <v>36</v>
      </c>
      <c r="I79">
        <v>31</v>
      </c>
      <c r="J79" t="s">
        <v>36</v>
      </c>
      <c r="K79">
        <v>28</v>
      </c>
      <c r="L79" t="b">
        <v>0</v>
      </c>
      <c r="M79">
        <v>22</v>
      </c>
      <c r="N79" t="s">
        <v>43</v>
      </c>
      <c r="Q79">
        <v>22</v>
      </c>
      <c r="R79" t="s">
        <v>52</v>
      </c>
    </row>
    <row r="80" spans="1:21" x14ac:dyDescent="0.3">
      <c r="A80">
        <v>57</v>
      </c>
      <c r="B80" t="s">
        <v>33</v>
      </c>
      <c r="C80">
        <v>2</v>
      </c>
      <c r="D80">
        <v>4</v>
      </c>
      <c r="E80">
        <v>13</v>
      </c>
      <c r="F80">
        <v>-6</v>
      </c>
      <c r="G80" t="s">
        <v>42</v>
      </c>
      <c r="H80" t="s">
        <v>36</v>
      </c>
      <c r="I80">
        <v>28</v>
      </c>
      <c r="J80" t="s">
        <v>36</v>
      </c>
      <c r="K80">
        <v>34</v>
      </c>
      <c r="L80" t="b">
        <v>0</v>
      </c>
      <c r="M80">
        <v>87</v>
      </c>
      <c r="N80" t="s">
        <v>53</v>
      </c>
      <c r="Q80">
        <v>33</v>
      </c>
      <c r="R80" t="s">
        <v>52</v>
      </c>
      <c r="S80">
        <v>61</v>
      </c>
      <c r="T80" t="s">
        <v>54</v>
      </c>
      <c r="U80" t="s">
        <v>55</v>
      </c>
    </row>
    <row r="81" spans="1:23" hidden="1" x14ac:dyDescent="0.3">
      <c r="A81">
        <v>58</v>
      </c>
      <c r="B81" t="s">
        <v>38</v>
      </c>
      <c r="C81">
        <v>2</v>
      </c>
      <c r="D81">
        <v>1</v>
      </c>
      <c r="E81">
        <v>10</v>
      </c>
      <c r="F81">
        <v>0</v>
      </c>
      <c r="G81" t="s">
        <v>50</v>
      </c>
      <c r="I81">
        <v>10</v>
      </c>
      <c r="L81" t="b">
        <v>0</v>
      </c>
      <c r="U81" t="s">
        <v>51</v>
      </c>
    </row>
    <row r="82" spans="1:23" x14ac:dyDescent="0.3">
      <c r="A82">
        <v>59</v>
      </c>
      <c r="B82" t="s">
        <v>33</v>
      </c>
      <c r="C82">
        <v>2</v>
      </c>
      <c r="D82">
        <v>1</v>
      </c>
      <c r="E82">
        <v>10</v>
      </c>
      <c r="F82">
        <v>3</v>
      </c>
      <c r="G82" t="s">
        <v>42</v>
      </c>
      <c r="H82" t="s">
        <v>35</v>
      </c>
      <c r="I82">
        <v>12</v>
      </c>
      <c r="J82" t="s">
        <v>35</v>
      </c>
      <c r="K82">
        <v>15</v>
      </c>
      <c r="L82" t="b">
        <v>0</v>
      </c>
      <c r="M82">
        <v>47</v>
      </c>
      <c r="N82" t="s">
        <v>49</v>
      </c>
      <c r="Q82">
        <v>99</v>
      </c>
      <c r="R82" t="s">
        <v>54</v>
      </c>
    </row>
    <row r="83" spans="1:23" hidden="1" x14ac:dyDescent="0.3">
      <c r="A83">
        <v>60</v>
      </c>
      <c r="B83" t="s">
        <v>33</v>
      </c>
      <c r="C83">
        <v>2</v>
      </c>
      <c r="D83">
        <v>2</v>
      </c>
      <c r="E83">
        <v>7</v>
      </c>
      <c r="F83">
        <v>0</v>
      </c>
      <c r="G83" t="s">
        <v>71</v>
      </c>
      <c r="H83" t="s">
        <v>35</v>
      </c>
      <c r="I83">
        <v>15</v>
      </c>
      <c r="J83" t="s">
        <v>35</v>
      </c>
      <c r="K83">
        <v>15</v>
      </c>
      <c r="L83" t="b">
        <v>0</v>
      </c>
      <c r="M83">
        <v>22</v>
      </c>
      <c r="N83" t="s">
        <v>43</v>
      </c>
      <c r="O83">
        <v>16</v>
      </c>
      <c r="P83" t="s">
        <v>61</v>
      </c>
      <c r="Q83">
        <v>14</v>
      </c>
      <c r="R83" t="s">
        <v>46</v>
      </c>
    </row>
    <row r="84" spans="1:23" hidden="1" x14ac:dyDescent="0.3">
      <c r="A84">
        <v>61</v>
      </c>
      <c r="B84" t="s">
        <v>38</v>
      </c>
      <c r="C84">
        <v>3</v>
      </c>
      <c r="F84">
        <v>57</v>
      </c>
      <c r="G84" t="s">
        <v>34</v>
      </c>
      <c r="H84" t="s">
        <v>35</v>
      </c>
      <c r="I84">
        <v>35</v>
      </c>
      <c r="J84" t="s">
        <v>36</v>
      </c>
      <c r="K84">
        <v>8</v>
      </c>
      <c r="L84" t="b">
        <v>1</v>
      </c>
      <c r="M84">
        <v>99</v>
      </c>
      <c r="N84" t="s">
        <v>37</v>
      </c>
    </row>
    <row r="85" spans="1:23" hidden="1" x14ac:dyDescent="0.3">
      <c r="A85">
        <v>61</v>
      </c>
      <c r="B85" t="s">
        <v>79</v>
      </c>
      <c r="C85">
        <v>3</v>
      </c>
      <c r="F85">
        <v>16</v>
      </c>
      <c r="G85" t="s">
        <v>39</v>
      </c>
      <c r="H85" t="s">
        <v>80</v>
      </c>
      <c r="I85">
        <v>8</v>
      </c>
      <c r="J85" t="s">
        <v>80</v>
      </c>
      <c r="K85">
        <v>24</v>
      </c>
      <c r="L85" t="b">
        <v>1</v>
      </c>
      <c r="M85">
        <v>22</v>
      </c>
      <c r="N85" t="s">
        <v>70</v>
      </c>
      <c r="U85" t="s">
        <v>41</v>
      </c>
    </row>
    <row r="86" spans="1:23" x14ac:dyDescent="0.3">
      <c r="A86">
        <v>62</v>
      </c>
      <c r="B86" t="s">
        <v>33</v>
      </c>
      <c r="C86">
        <v>3</v>
      </c>
      <c r="D86">
        <v>1</v>
      </c>
      <c r="E86">
        <v>10</v>
      </c>
      <c r="F86">
        <v>3</v>
      </c>
      <c r="G86" t="s">
        <v>42</v>
      </c>
      <c r="H86" t="s">
        <v>35</v>
      </c>
      <c r="I86">
        <v>24</v>
      </c>
      <c r="J86" t="s">
        <v>35</v>
      </c>
      <c r="K86">
        <v>27</v>
      </c>
      <c r="L86" t="b">
        <v>0</v>
      </c>
      <c r="M86">
        <v>47</v>
      </c>
      <c r="N86" t="s">
        <v>49</v>
      </c>
      <c r="Q86">
        <v>99</v>
      </c>
      <c r="R86" t="s">
        <v>54</v>
      </c>
    </row>
    <row r="87" spans="1:23" x14ac:dyDescent="0.3">
      <c r="A87">
        <v>63</v>
      </c>
      <c r="B87" t="s">
        <v>33</v>
      </c>
      <c r="C87">
        <v>3</v>
      </c>
      <c r="D87">
        <v>2</v>
      </c>
      <c r="E87">
        <v>7</v>
      </c>
      <c r="F87">
        <v>19</v>
      </c>
      <c r="G87" t="s">
        <v>42</v>
      </c>
      <c r="H87" t="s">
        <v>35</v>
      </c>
      <c r="I87">
        <v>27</v>
      </c>
      <c r="J87" t="s">
        <v>35</v>
      </c>
      <c r="K87">
        <v>46</v>
      </c>
      <c r="L87" t="b">
        <v>0</v>
      </c>
      <c r="M87">
        <v>47</v>
      </c>
      <c r="N87" t="s">
        <v>49</v>
      </c>
      <c r="Q87">
        <v>8</v>
      </c>
      <c r="R87" t="s">
        <v>52</v>
      </c>
      <c r="S87">
        <v>53</v>
      </c>
      <c r="T87" t="s">
        <v>52</v>
      </c>
    </row>
    <row r="88" spans="1:23" x14ac:dyDescent="0.3">
      <c r="A88">
        <v>64</v>
      </c>
      <c r="B88" t="s">
        <v>33</v>
      </c>
      <c r="C88">
        <v>3</v>
      </c>
      <c r="D88">
        <v>1</v>
      </c>
      <c r="E88">
        <v>10</v>
      </c>
      <c r="F88">
        <v>47</v>
      </c>
      <c r="G88" t="s">
        <v>42</v>
      </c>
      <c r="H88" t="s">
        <v>35</v>
      </c>
      <c r="I88">
        <v>46</v>
      </c>
      <c r="J88" t="s">
        <v>36</v>
      </c>
      <c r="K88">
        <v>7</v>
      </c>
      <c r="L88" t="b">
        <v>0</v>
      </c>
      <c r="M88">
        <v>22</v>
      </c>
      <c r="N88" t="s">
        <v>43</v>
      </c>
      <c r="Q88">
        <v>14</v>
      </c>
      <c r="R88" t="s">
        <v>46</v>
      </c>
    </row>
    <row r="89" spans="1:23" x14ac:dyDescent="0.3">
      <c r="A89">
        <v>65</v>
      </c>
      <c r="B89" t="s">
        <v>33</v>
      </c>
      <c r="C89">
        <v>3</v>
      </c>
      <c r="D89">
        <v>1</v>
      </c>
      <c r="E89">
        <v>7</v>
      </c>
      <c r="F89">
        <v>3</v>
      </c>
      <c r="G89" t="s">
        <v>42</v>
      </c>
      <c r="H89" t="s">
        <v>36</v>
      </c>
      <c r="I89">
        <v>7</v>
      </c>
      <c r="J89" t="s">
        <v>36</v>
      </c>
      <c r="K89">
        <v>4</v>
      </c>
      <c r="L89" t="b">
        <v>0</v>
      </c>
      <c r="M89">
        <v>47</v>
      </c>
      <c r="N89" t="s">
        <v>49</v>
      </c>
      <c r="Q89">
        <v>61</v>
      </c>
      <c r="R89" t="s">
        <v>54</v>
      </c>
    </row>
    <row r="90" spans="1:23" x14ac:dyDescent="0.3">
      <c r="A90">
        <v>66</v>
      </c>
      <c r="B90" t="s">
        <v>33</v>
      </c>
      <c r="C90">
        <v>3</v>
      </c>
      <c r="D90">
        <v>2</v>
      </c>
      <c r="E90">
        <v>4</v>
      </c>
      <c r="F90">
        <v>-2</v>
      </c>
      <c r="G90" t="s">
        <v>42</v>
      </c>
      <c r="H90" t="s">
        <v>36</v>
      </c>
      <c r="I90">
        <v>4</v>
      </c>
      <c r="J90" t="s">
        <v>36</v>
      </c>
      <c r="K90">
        <v>6</v>
      </c>
      <c r="L90" t="b">
        <v>0</v>
      </c>
      <c r="M90">
        <v>16</v>
      </c>
      <c r="N90" t="s">
        <v>61</v>
      </c>
      <c r="Q90">
        <v>8</v>
      </c>
      <c r="R90" t="s">
        <v>52</v>
      </c>
      <c r="U90" t="s">
        <v>44</v>
      </c>
      <c r="V90" t="s">
        <v>48</v>
      </c>
      <c r="W90" t="s">
        <v>63</v>
      </c>
    </row>
    <row r="91" spans="1:23" hidden="1" x14ac:dyDescent="0.3">
      <c r="A91">
        <v>67</v>
      </c>
      <c r="B91" t="s">
        <v>33</v>
      </c>
      <c r="C91">
        <v>3</v>
      </c>
      <c r="D91">
        <v>2</v>
      </c>
      <c r="E91">
        <v>4</v>
      </c>
      <c r="F91">
        <v>0</v>
      </c>
      <c r="G91" t="s">
        <v>39</v>
      </c>
      <c r="H91" t="s">
        <v>36</v>
      </c>
      <c r="I91">
        <v>10</v>
      </c>
      <c r="J91" t="s">
        <v>36</v>
      </c>
      <c r="K91">
        <v>10</v>
      </c>
      <c r="L91" t="b">
        <v>0</v>
      </c>
      <c r="M91">
        <v>16</v>
      </c>
      <c r="N91" t="s">
        <v>61</v>
      </c>
      <c r="Q91">
        <v>68</v>
      </c>
      <c r="R91" t="s">
        <v>54</v>
      </c>
      <c r="U91" t="s">
        <v>63</v>
      </c>
      <c r="V91" t="s">
        <v>69</v>
      </c>
    </row>
    <row r="92" spans="1:23" hidden="1" x14ac:dyDescent="0.3">
      <c r="A92">
        <v>68</v>
      </c>
      <c r="B92" t="s">
        <v>38</v>
      </c>
      <c r="C92">
        <v>3</v>
      </c>
      <c r="D92">
        <v>1</v>
      </c>
      <c r="E92">
        <v>10</v>
      </c>
      <c r="F92">
        <v>3</v>
      </c>
      <c r="G92" t="s">
        <v>42</v>
      </c>
      <c r="H92" t="s">
        <v>35</v>
      </c>
      <c r="I92">
        <v>10</v>
      </c>
      <c r="J92" t="s">
        <v>35</v>
      </c>
      <c r="K92">
        <v>13</v>
      </c>
      <c r="L92" t="b">
        <v>0</v>
      </c>
      <c r="M92">
        <v>3</v>
      </c>
      <c r="N92" t="s">
        <v>43</v>
      </c>
      <c r="Q92">
        <v>22</v>
      </c>
      <c r="R92" t="s">
        <v>52</v>
      </c>
    </row>
    <row r="93" spans="1:23" hidden="1" x14ac:dyDescent="0.3">
      <c r="A93">
        <v>69</v>
      </c>
      <c r="B93" t="s">
        <v>38</v>
      </c>
      <c r="C93">
        <v>3</v>
      </c>
      <c r="D93">
        <v>2</v>
      </c>
      <c r="E93">
        <v>7</v>
      </c>
      <c r="F93">
        <v>-3</v>
      </c>
      <c r="G93" t="s">
        <v>42</v>
      </c>
      <c r="H93" t="s">
        <v>35</v>
      </c>
      <c r="I93">
        <v>13</v>
      </c>
      <c r="J93" t="s">
        <v>35</v>
      </c>
      <c r="K93">
        <v>10</v>
      </c>
      <c r="L93" t="b">
        <v>0</v>
      </c>
      <c r="M93">
        <v>22</v>
      </c>
      <c r="N93" t="s">
        <v>49</v>
      </c>
      <c r="Q93">
        <v>78</v>
      </c>
      <c r="R93" t="s">
        <v>54</v>
      </c>
      <c r="U93" t="s">
        <v>55</v>
      </c>
    </row>
    <row r="94" spans="1:23" hidden="1" x14ac:dyDescent="0.3">
      <c r="A94">
        <v>70</v>
      </c>
      <c r="B94" t="s">
        <v>38</v>
      </c>
      <c r="C94">
        <v>3</v>
      </c>
      <c r="D94">
        <v>3</v>
      </c>
      <c r="E94">
        <v>10</v>
      </c>
      <c r="F94">
        <v>0</v>
      </c>
      <c r="G94" t="s">
        <v>71</v>
      </c>
      <c r="H94" t="s">
        <v>35</v>
      </c>
      <c r="I94">
        <v>10</v>
      </c>
      <c r="J94" t="s">
        <v>35</v>
      </c>
      <c r="K94">
        <v>10</v>
      </c>
      <c r="L94" t="b">
        <v>0</v>
      </c>
      <c r="M94">
        <v>2</v>
      </c>
      <c r="N94" t="s">
        <v>43</v>
      </c>
      <c r="O94">
        <v>9</v>
      </c>
      <c r="P94" t="s">
        <v>61</v>
      </c>
    </row>
    <row r="95" spans="1:23" hidden="1" x14ac:dyDescent="0.3">
      <c r="A95">
        <v>71</v>
      </c>
      <c r="B95" t="s">
        <v>38</v>
      </c>
      <c r="C95">
        <v>3</v>
      </c>
      <c r="D95">
        <v>4</v>
      </c>
      <c r="E95">
        <v>10</v>
      </c>
      <c r="F95">
        <v>38</v>
      </c>
      <c r="G95" t="s">
        <v>56</v>
      </c>
      <c r="H95" t="s">
        <v>35</v>
      </c>
      <c r="I95">
        <v>10</v>
      </c>
      <c r="J95" t="s">
        <v>35</v>
      </c>
      <c r="K95">
        <v>48</v>
      </c>
      <c r="L95" t="b">
        <v>1</v>
      </c>
      <c r="M95">
        <v>99</v>
      </c>
      <c r="N95" t="s">
        <v>57</v>
      </c>
    </row>
    <row r="96" spans="1:23" x14ac:dyDescent="0.3">
      <c r="A96">
        <v>72</v>
      </c>
      <c r="B96" t="s">
        <v>33</v>
      </c>
      <c r="C96">
        <v>3</v>
      </c>
      <c r="D96">
        <v>1</v>
      </c>
      <c r="E96">
        <v>10</v>
      </c>
      <c r="F96">
        <v>-2</v>
      </c>
      <c r="G96" t="s">
        <v>42</v>
      </c>
      <c r="H96" t="s">
        <v>36</v>
      </c>
      <c r="I96">
        <v>48</v>
      </c>
      <c r="J96" t="s">
        <v>35</v>
      </c>
      <c r="K96">
        <v>50</v>
      </c>
      <c r="L96" t="b">
        <v>0</v>
      </c>
      <c r="M96">
        <v>16</v>
      </c>
      <c r="N96" t="s">
        <v>61</v>
      </c>
      <c r="U96" t="s">
        <v>44</v>
      </c>
    </row>
    <row r="97" spans="1:21" x14ac:dyDescent="0.3">
      <c r="A97">
        <v>72</v>
      </c>
      <c r="B97" t="s">
        <v>33</v>
      </c>
      <c r="C97">
        <v>3</v>
      </c>
      <c r="D97">
        <v>1</v>
      </c>
      <c r="E97">
        <v>10</v>
      </c>
      <c r="F97">
        <v>0</v>
      </c>
      <c r="G97" t="s">
        <v>45</v>
      </c>
      <c r="H97" t="s">
        <v>35</v>
      </c>
      <c r="I97">
        <v>50</v>
      </c>
      <c r="J97" t="s">
        <v>35</v>
      </c>
      <c r="K97">
        <v>50</v>
      </c>
      <c r="L97" t="b">
        <v>0</v>
      </c>
      <c r="M97">
        <v>16</v>
      </c>
      <c r="N97" t="s">
        <v>61</v>
      </c>
      <c r="U97" t="s">
        <v>47</v>
      </c>
    </row>
    <row r="98" spans="1:21" hidden="1" x14ac:dyDescent="0.3">
      <c r="A98">
        <v>73</v>
      </c>
      <c r="B98" t="s">
        <v>33</v>
      </c>
      <c r="C98">
        <v>3</v>
      </c>
      <c r="D98">
        <v>2</v>
      </c>
      <c r="E98">
        <v>12</v>
      </c>
      <c r="F98">
        <v>0</v>
      </c>
      <c r="G98" t="s">
        <v>71</v>
      </c>
      <c r="H98" t="s">
        <v>35</v>
      </c>
      <c r="I98">
        <v>50</v>
      </c>
      <c r="J98" t="s">
        <v>35</v>
      </c>
      <c r="K98">
        <v>50</v>
      </c>
      <c r="L98" t="b">
        <v>0</v>
      </c>
      <c r="M98">
        <v>7</v>
      </c>
      <c r="N98" t="s">
        <v>43</v>
      </c>
      <c r="O98">
        <v>16</v>
      </c>
      <c r="P98" t="s">
        <v>61</v>
      </c>
    </row>
    <row r="99" spans="1:21" hidden="1" x14ac:dyDescent="0.3">
      <c r="A99">
        <v>74</v>
      </c>
      <c r="B99" t="s">
        <v>33</v>
      </c>
      <c r="C99">
        <v>3</v>
      </c>
      <c r="D99">
        <v>3</v>
      </c>
      <c r="E99">
        <v>12</v>
      </c>
      <c r="F99">
        <v>0</v>
      </c>
      <c r="G99" t="s">
        <v>71</v>
      </c>
      <c r="H99" t="s">
        <v>35</v>
      </c>
      <c r="I99">
        <v>50</v>
      </c>
      <c r="J99" t="s">
        <v>35</v>
      </c>
      <c r="K99">
        <v>50</v>
      </c>
      <c r="L99" t="b">
        <v>0</v>
      </c>
      <c r="M99">
        <v>21</v>
      </c>
      <c r="N99" t="s">
        <v>43</v>
      </c>
      <c r="O99">
        <v>16</v>
      </c>
      <c r="P99" t="s">
        <v>61</v>
      </c>
      <c r="Q99">
        <v>3</v>
      </c>
      <c r="R99" t="s">
        <v>46</v>
      </c>
    </row>
    <row r="100" spans="1:21" hidden="1" x14ac:dyDescent="0.3">
      <c r="A100">
        <v>75</v>
      </c>
      <c r="B100" t="s">
        <v>33</v>
      </c>
      <c r="C100">
        <v>3</v>
      </c>
      <c r="D100">
        <v>4</v>
      </c>
      <c r="E100">
        <v>12</v>
      </c>
      <c r="F100">
        <v>0</v>
      </c>
      <c r="G100" t="s">
        <v>50</v>
      </c>
      <c r="I100">
        <v>5</v>
      </c>
      <c r="L100" t="b">
        <v>0</v>
      </c>
      <c r="U100" t="s">
        <v>68</v>
      </c>
    </row>
    <row r="101" spans="1:21" hidden="1" x14ac:dyDescent="0.3">
      <c r="A101">
        <v>76</v>
      </c>
      <c r="B101" t="s">
        <v>79</v>
      </c>
      <c r="C101">
        <v>3</v>
      </c>
      <c r="D101">
        <v>4</v>
      </c>
      <c r="E101">
        <v>17</v>
      </c>
      <c r="F101">
        <v>0</v>
      </c>
      <c r="G101" t="s">
        <v>50</v>
      </c>
      <c r="I101">
        <v>10</v>
      </c>
      <c r="L101" t="b">
        <v>0</v>
      </c>
      <c r="U101" t="s">
        <v>68</v>
      </c>
    </row>
    <row r="102" spans="1:21" hidden="1" x14ac:dyDescent="0.3">
      <c r="A102">
        <v>77</v>
      </c>
      <c r="B102" t="s">
        <v>79</v>
      </c>
      <c r="C102">
        <v>3</v>
      </c>
      <c r="D102">
        <v>4</v>
      </c>
      <c r="E102">
        <v>27</v>
      </c>
      <c r="F102">
        <v>14</v>
      </c>
      <c r="G102" t="s">
        <v>56</v>
      </c>
      <c r="H102" t="s">
        <v>35</v>
      </c>
      <c r="I102">
        <v>35</v>
      </c>
      <c r="J102" t="s">
        <v>35</v>
      </c>
      <c r="K102">
        <v>49</v>
      </c>
      <c r="L102" t="b">
        <v>1</v>
      </c>
      <c r="M102">
        <v>27</v>
      </c>
      <c r="N102" t="s">
        <v>57</v>
      </c>
    </row>
    <row r="103" spans="1:21" hidden="1" x14ac:dyDescent="0.3">
      <c r="A103">
        <v>78</v>
      </c>
      <c r="B103" t="s">
        <v>38</v>
      </c>
      <c r="C103">
        <v>3</v>
      </c>
      <c r="D103">
        <v>1</v>
      </c>
      <c r="E103">
        <v>10</v>
      </c>
      <c r="F103">
        <v>-2</v>
      </c>
      <c r="G103" t="s">
        <v>42</v>
      </c>
      <c r="H103" t="s">
        <v>36</v>
      </c>
      <c r="I103">
        <v>49</v>
      </c>
      <c r="J103" t="s">
        <v>35</v>
      </c>
      <c r="K103">
        <v>49</v>
      </c>
      <c r="L103" t="b">
        <v>0</v>
      </c>
      <c r="M103">
        <v>9</v>
      </c>
      <c r="N103" t="s">
        <v>61</v>
      </c>
      <c r="U103" t="s">
        <v>44</v>
      </c>
    </row>
    <row r="104" spans="1:21" hidden="1" x14ac:dyDescent="0.3">
      <c r="A104">
        <v>79</v>
      </c>
      <c r="B104" t="s">
        <v>38</v>
      </c>
      <c r="C104">
        <v>3</v>
      </c>
      <c r="D104">
        <v>1</v>
      </c>
      <c r="E104">
        <v>10</v>
      </c>
      <c r="F104">
        <v>0</v>
      </c>
      <c r="G104" t="s">
        <v>45</v>
      </c>
      <c r="H104" t="s">
        <v>35</v>
      </c>
      <c r="I104">
        <v>49</v>
      </c>
      <c r="J104" t="s">
        <v>35</v>
      </c>
      <c r="K104">
        <v>49</v>
      </c>
      <c r="L104" t="b">
        <v>0</v>
      </c>
      <c r="M104">
        <v>9</v>
      </c>
      <c r="N104" t="s">
        <v>61</v>
      </c>
      <c r="U104" t="s">
        <v>47</v>
      </c>
    </row>
    <row r="105" spans="1:21" hidden="1" x14ac:dyDescent="0.3">
      <c r="A105">
        <v>80</v>
      </c>
      <c r="B105" t="s">
        <v>38</v>
      </c>
      <c r="C105">
        <v>3</v>
      </c>
      <c r="D105">
        <v>2</v>
      </c>
      <c r="E105">
        <v>12</v>
      </c>
      <c r="F105">
        <v>8</v>
      </c>
      <c r="G105" t="s">
        <v>72</v>
      </c>
      <c r="H105" t="s">
        <v>35</v>
      </c>
      <c r="I105">
        <v>49</v>
      </c>
      <c r="J105" t="s">
        <v>36</v>
      </c>
      <c r="K105">
        <v>43</v>
      </c>
      <c r="L105" t="b">
        <v>0</v>
      </c>
      <c r="M105">
        <v>3</v>
      </c>
      <c r="N105" t="s">
        <v>43</v>
      </c>
      <c r="O105">
        <v>9</v>
      </c>
      <c r="P105" t="s">
        <v>61</v>
      </c>
      <c r="Q105">
        <v>4</v>
      </c>
      <c r="R105" t="s">
        <v>52</v>
      </c>
      <c r="S105">
        <v>25</v>
      </c>
      <c r="T105" t="s">
        <v>52</v>
      </c>
    </row>
    <row r="106" spans="1:21" hidden="1" x14ac:dyDescent="0.3">
      <c r="A106">
        <v>81</v>
      </c>
      <c r="B106" t="s">
        <v>38</v>
      </c>
      <c r="C106">
        <v>3</v>
      </c>
      <c r="D106">
        <v>3</v>
      </c>
      <c r="E106">
        <v>4</v>
      </c>
      <c r="F106">
        <v>19</v>
      </c>
      <c r="G106" t="s">
        <v>72</v>
      </c>
      <c r="H106" t="s">
        <v>36</v>
      </c>
      <c r="I106">
        <v>43</v>
      </c>
      <c r="J106" t="s">
        <v>36</v>
      </c>
      <c r="K106">
        <v>24</v>
      </c>
      <c r="L106" t="b">
        <v>0</v>
      </c>
      <c r="M106">
        <v>99</v>
      </c>
      <c r="N106" t="s">
        <v>53</v>
      </c>
      <c r="O106">
        <v>9</v>
      </c>
      <c r="P106" t="s">
        <v>61</v>
      </c>
      <c r="Q106">
        <v>4</v>
      </c>
      <c r="R106" t="s">
        <v>52</v>
      </c>
      <c r="S106">
        <v>27</v>
      </c>
      <c r="T106" t="s">
        <v>52</v>
      </c>
    </row>
    <row r="107" spans="1:21" hidden="1" x14ac:dyDescent="0.3">
      <c r="A107">
        <v>82</v>
      </c>
      <c r="B107" t="s">
        <v>38</v>
      </c>
      <c r="C107">
        <v>3</v>
      </c>
      <c r="D107">
        <v>1</v>
      </c>
      <c r="E107">
        <v>10</v>
      </c>
      <c r="F107">
        <v>0</v>
      </c>
      <c r="G107" t="s">
        <v>71</v>
      </c>
      <c r="H107" t="s">
        <v>36</v>
      </c>
      <c r="I107">
        <v>24</v>
      </c>
      <c r="J107" t="s">
        <v>36</v>
      </c>
      <c r="K107">
        <v>24</v>
      </c>
      <c r="L107" t="b">
        <v>0</v>
      </c>
      <c r="M107">
        <v>1</v>
      </c>
      <c r="N107" t="s">
        <v>43</v>
      </c>
      <c r="O107">
        <v>9</v>
      </c>
      <c r="P107" t="s">
        <v>61</v>
      </c>
    </row>
    <row r="108" spans="1:21" hidden="1" x14ac:dyDescent="0.3">
      <c r="A108">
        <v>83</v>
      </c>
      <c r="B108" t="s">
        <v>38</v>
      </c>
      <c r="C108">
        <v>3</v>
      </c>
      <c r="D108">
        <v>2</v>
      </c>
      <c r="E108">
        <v>10</v>
      </c>
      <c r="F108">
        <v>0</v>
      </c>
      <c r="G108" t="s">
        <v>50</v>
      </c>
      <c r="I108">
        <v>5</v>
      </c>
      <c r="L108" t="b">
        <v>0</v>
      </c>
      <c r="U108" t="s">
        <v>68</v>
      </c>
    </row>
    <row r="109" spans="1:21" hidden="1" x14ac:dyDescent="0.3">
      <c r="A109">
        <v>84</v>
      </c>
      <c r="B109" t="s">
        <v>38</v>
      </c>
      <c r="C109">
        <v>3</v>
      </c>
      <c r="D109">
        <v>2</v>
      </c>
      <c r="E109">
        <v>5</v>
      </c>
      <c r="F109">
        <v>0</v>
      </c>
      <c r="G109" t="s">
        <v>71</v>
      </c>
      <c r="H109" t="s">
        <v>36</v>
      </c>
      <c r="I109">
        <v>19</v>
      </c>
      <c r="J109" t="s">
        <v>36</v>
      </c>
      <c r="K109">
        <v>19</v>
      </c>
      <c r="L109" t="b">
        <v>0</v>
      </c>
      <c r="M109">
        <v>1</v>
      </c>
      <c r="N109" t="s">
        <v>43</v>
      </c>
      <c r="O109">
        <v>9</v>
      </c>
      <c r="P109" t="s">
        <v>61</v>
      </c>
    </row>
    <row r="110" spans="1:21" hidden="1" x14ac:dyDescent="0.3">
      <c r="A110">
        <v>85</v>
      </c>
      <c r="B110" t="s">
        <v>38</v>
      </c>
      <c r="C110">
        <v>3</v>
      </c>
      <c r="D110">
        <v>3</v>
      </c>
      <c r="E110">
        <v>5</v>
      </c>
      <c r="F110">
        <v>0</v>
      </c>
      <c r="G110" t="s">
        <v>71</v>
      </c>
      <c r="H110" t="s">
        <v>36</v>
      </c>
      <c r="I110">
        <v>19</v>
      </c>
      <c r="J110" t="s">
        <v>36</v>
      </c>
      <c r="K110">
        <v>19</v>
      </c>
      <c r="L110" t="b">
        <v>0</v>
      </c>
      <c r="M110">
        <v>3</v>
      </c>
      <c r="N110" t="s">
        <v>43</v>
      </c>
      <c r="O110">
        <v>9</v>
      </c>
      <c r="P110" t="s">
        <v>61</v>
      </c>
    </row>
    <row r="111" spans="1:21" hidden="1" x14ac:dyDescent="0.3">
      <c r="A111">
        <v>86</v>
      </c>
      <c r="B111" t="s">
        <v>38</v>
      </c>
      <c r="C111">
        <v>3</v>
      </c>
      <c r="D111">
        <v>4</v>
      </c>
      <c r="E111">
        <v>5</v>
      </c>
      <c r="F111">
        <v>0</v>
      </c>
      <c r="G111" t="s">
        <v>71</v>
      </c>
      <c r="H111" t="s">
        <v>36</v>
      </c>
      <c r="I111">
        <v>19</v>
      </c>
      <c r="J111" t="s">
        <v>36</v>
      </c>
      <c r="K111">
        <v>19</v>
      </c>
      <c r="L111" t="b">
        <v>0</v>
      </c>
      <c r="M111">
        <v>22</v>
      </c>
      <c r="N111" t="s">
        <v>49</v>
      </c>
      <c r="O111">
        <v>9</v>
      </c>
      <c r="P111" t="s">
        <v>61</v>
      </c>
      <c r="U111" t="s">
        <v>69</v>
      </c>
    </row>
    <row r="112" spans="1:21" hidden="1" x14ac:dyDescent="0.3">
      <c r="A112">
        <v>87</v>
      </c>
      <c r="B112" t="s">
        <v>33</v>
      </c>
      <c r="C112">
        <v>3</v>
      </c>
      <c r="D112">
        <v>1</v>
      </c>
      <c r="E112">
        <v>10</v>
      </c>
      <c r="F112">
        <v>0</v>
      </c>
      <c r="G112" t="s">
        <v>50</v>
      </c>
      <c r="I112">
        <v>5</v>
      </c>
      <c r="L112" t="b">
        <v>0</v>
      </c>
      <c r="U112" t="s">
        <v>68</v>
      </c>
    </row>
    <row r="113" spans="1:21" x14ac:dyDescent="0.3">
      <c r="A113">
        <v>88</v>
      </c>
      <c r="B113" t="s">
        <v>33</v>
      </c>
      <c r="C113">
        <v>3</v>
      </c>
      <c r="D113">
        <v>1</v>
      </c>
      <c r="E113">
        <v>15</v>
      </c>
      <c r="F113">
        <v>7</v>
      </c>
      <c r="G113" t="s">
        <v>45</v>
      </c>
      <c r="H113" t="s">
        <v>35</v>
      </c>
      <c r="I113">
        <v>14</v>
      </c>
      <c r="J113" t="s">
        <v>35</v>
      </c>
      <c r="K113">
        <v>21</v>
      </c>
      <c r="L113" t="b">
        <v>0</v>
      </c>
      <c r="M113">
        <v>47</v>
      </c>
      <c r="N113" t="s">
        <v>49</v>
      </c>
      <c r="Q113">
        <v>66</v>
      </c>
      <c r="R113" t="s">
        <v>54</v>
      </c>
      <c r="S113">
        <v>19</v>
      </c>
      <c r="T113" t="s">
        <v>46</v>
      </c>
    </row>
    <row r="114" spans="1:21" x14ac:dyDescent="0.3">
      <c r="A114">
        <v>89</v>
      </c>
      <c r="B114" t="s">
        <v>33</v>
      </c>
      <c r="C114">
        <v>3</v>
      </c>
      <c r="D114">
        <v>2</v>
      </c>
      <c r="E114">
        <v>8</v>
      </c>
      <c r="F114">
        <v>9</v>
      </c>
      <c r="G114" t="s">
        <v>42</v>
      </c>
      <c r="H114" t="s">
        <v>35</v>
      </c>
      <c r="I114">
        <v>21</v>
      </c>
      <c r="J114" t="s">
        <v>35</v>
      </c>
      <c r="K114">
        <v>30</v>
      </c>
      <c r="L114" t="b">
        <v>0</v>
      </c>
      <c r="M114">
        <v>22</v>
      </c>
      <c r="N114" t="s">
        <v>43</v>
      </c>
      <c r="Q114">
        <v>8</v>
      </c>
      <c r="R114" t="s">
        <v>52</v>
      </c>
    </row>
    <row r="115" spans="1:21" x14ac:dyDescent="0.3">
      <c r="A115">
        <v>90</v>
      </c>
      <c r="B115" t="s">
        <v>33</v>
      </c>
      <c r="C115">
        <v>3</v>
      </c>
      <c r="D115">
        <v>1</v>
      </c>
      <c r="E115">
        <v>10</v>
      </c>
      <c r="F115">
        <v>9</v>
      </c>
      <c r="G115" t="s">
        <v>42</v>
      </c>
      <c r="H115" t="s">
        <v>35</v>
      </c>
      <c r="I115">
        <v>30</v>
      </c>
      <c r="J115" t="s">
        <v>35</v>
      </c>
      <c r="K115">
        <v>39</v>
      </c>
      <c r="L115" t="b">
        <v>0</v>
      </c>
      <c r="M115">
        <v>47</v>
      </c>
      <c r="N115" t="s">
        <v>49</v>
      </c>
      <c r="Q115">
        <v>3</v>
      </c>
      <c r="R115" t="s">
        <v>46</v>
      </c>
    </row>
    <row r="116" spans="1:21" x14ac:dyDescent="0.3">
      <c r="A116">
        <v>91</v>
      </c>
      <c r="B116" t="s">
        <v>33</v>
      </c>
      <c r="C116">
        <v>3</v>
      </c>
      <c r="D116">
        <v>2</v>
      </c>
      <c r="E116">
        <v>1</v>
      </c>
      <c r="F116">
        <v>-2</v>
      </c>
      <c r="G116" t="s">
        <v>42</v>
      </c>
      <c r="H116" t="s">
        <v>35</v>
      </c>
      <c r="I116">
        <v>39</v>
      </c>
      <c r="J116" t="s">
        <v>35</v>
      </c>
      <c r="K116">
        <v>37</v>
      </c>
      <c r="L116" t="b">
        <v>0</v>
      </c>
      <c r="M116">
        <v>16</v>
      </c>
      <c r="N116" t="s">
        <v>61</v>
      </c>
      <c r="Q116">
        <v>22</v>
      </c>
      <c r="R116" t="s">
        <v>46</v>
      </c>
      <c r="U116" t="s">
        <v>55</v>
      </c>
    </row>
    <row r="117" spans="1:21" hidden="1" x14ac:dyDescent="0.3">
      <c r="A117">
        <v>92</v>
      </c>
      <c r="B117" t="s">
        <v>33</v>
      </c>
      <c r="C117">
        <v>3</v>
      </c>
      <c r="D117">
        <v>3</v>
      </c>
      <c r="E117">
        <v>3</v>
      </c>
      <c r="F117">
        <v>0</v>
      </c>
      <c r="G117" t="s">
        <v>50</v>
      </c>
      <c r="I117">
        <v>5</v>
      </c>
      <c r="L117" t="b">
        <v>0</v>
      </c>
      <c r="U117" t="s">
        <v>68</v>
      </c>
    </row>
    <row r="118" spans="1:21" hidden="1" x14ac:dyDescent="0.3">
      <c r="A118">
        <v>93</v>
      </c>
      <c r="B118" t="s">
        <v>33</v>
      </c>
      <c r="C118">
        <v>3</v>
      </c>
      <c r="D118">
        <v>3</v>
      </c>
      <c r="E118">
        <v>3</v>
      </c>
      <c r="F118">
        <v>-1</v>
      </c>
      <c r="G118" t="s">
        <v>72</v>
      </c>
      <c r="H118" t="s">
        <v>35</v>
      </c>
      <c r="I118">
        <v>37</v>
      </c>
      <c r="J118" t="s">
        <v>35</v>
      </c>
      <c r="K118">
        <v>36</v>
      </c>
      <c r="L118" t="b">
        <v>0</v>
      </c>
      <c r="M118">
        <v>87</v>
      </c>
      <c r="N118" t="s">
        <v>53</v>
      </c>
      <c r="O118">
        <v>16</v>
      </c>
      <c r="P118" t="s">
        <v>61</v>
      </c>
      <c r="Q118">
        <v>33</v>
      </c>
      <c r="R118" t="s">
        <v>46</v>
      </c>
      <c r="S118">
        <v>99</v>
      </c>
      <c r="T118" t="s">
        <v>54</v>
      </c>
      <c r="U118" t="s">
        <v>68</v>
      </c>
    </row>
    <row r="119" spans="1:21" hidden="1" x14ac:dyDescent="0.3">
      <c r="A119">
        <v>94</v>
      </c>
      <c r="B119" t="s">
        <v>33</v>
      </c>
      <c r="C119">
        <v>4</v>
      </c>
      <c r="D119">
        <v>4</v>
      </c>
      <c r="E119">
        <v>4</v>
      </c>
      <c r="F119">
        <v>41</v>
      </c>
      <c r="G119" t="s">
        <v>75</v>
      </c>
      <c r="H119" t="s">
        <v>35</v>
      </c>
      <c r="I119">
        <v>36</v>
      </c>
      <c r="J119" t="s">
        <v>36</v>
      </c>
      <c r="K119">
        <v>23</v>
      </c>
      <c r="L119" t="b">
        <v>0</v>
      </c>
      <c r="M119">
        <v>27</v>
      </c>
      <c r="N119" t="s">
        <v>57</v>
      </c>
    </row>
    <row r="120" spans="1:21" hidden="1" x14ac:dyDescent="0.3">
      <c r="A120">
        <v>95</v>
      </c>
      <c r="B120" t="s">
        <v>62</v>
      </c>
      <c r="C120">
        <v>4</v>
      </c>
      <c r="D120">
        <v>1</v>
      </c>
      <c r="E120">
        <v>10</v>
      </c>
      <c r="F120">
        <v>0</v>
      </c>
      <c r="G120" t="s">
        <v>71</v>
      </c>
      <c r="H120" t="s">
        <v>35</v>
      </c>
      <c r="I120">
        <v>23</v>
      </c>
      <c r="J120" t="s">
        <v>35</v>
      </c>
      <c r="K120">
        <v>23</v>
      </c>
      <c r="L120" t="b">
        <v>0</v>
      </c>
      <c r="M120">
        <v>2</v>
      </c>
      <c r="N120" t="s">
        <v>43</v>
      </c>
      <c r="O120">
        <v>9</v>
      </c>
      <c r="P120" t="s">
        <v>61</v>
      </c>
    </row>
    <row r="121" spans="1:21" hidden="1" x14ac:dyDescent="0.3">
      <c r="A121">
        <v>96</v>
      </c>
      <c r="B121" t="s">
        <v>62</v>
      </c>
      <c r="C121">
        <v>4</v>
      </c>
      <c r="D121">
        <v>2</v>
      </c>
      <c r="E121">
        <v>10</v>
      </c>
      <c r="F121">
        <v>-1</v>
      </c>
      <c r="G121" t="s">
        <v>72</v>
      </c>
      <c r="H121" t="s">
        <v>35</v>
      </c>
      <c r="I121">
        <v>23</v>
      </c>
      <c r="J121" t="s">
        <v>35</v>
      </c>
      <c r="K121">
        <v>22</v>
      </c>
      <c r="L121" t="b">
        <v>0</v>
      </c>
      <c r="M121">
        <v>3</v>
      </c>
      <c r="N121" t="s">
        <v>43</v>
      </c>
      <c r="O121">
        <v>9</v>
      </c>
      <c r="P121" t="s">
        <v>61</v>
      </c>
      <c r="Q121">
        <v>27</v>
      </c>
      <c r="R121" t="s">
        <v>52</v>
      </c>
      <c r="U121" t="s">
        <v>55</v>
      </c>
    </row>
    <row r="122" spans="1:21" hidden="1" x14ac:dyDescent="0.3">
      <c r="A122">
        <v>97</v>
      </c>
      <c r="B122" t="s">
        <v>62</v>
      </c>
      <c r="C122">
        <v>4</v>
      </c>
      <c r="D122">
        <v>3</v>
      </c>
      <c r="E122">
        <v>11</v>
      </c>
      <c r="F122">
        <v>0</v>
      </c>
      <c r="G122" t="s">
        <v>71</v>
      </c>
      <c r="H122" t="s">
        <v>35</v>
      </c>
      <c r="I122">
        <v>22</v>
      </c>
      <c r="J122" t="s">
        <v>35</v>
      </c>
      <c r="K122">
        <v>22</v>
      </c>
      <c r="L122" t="b">
        <v>0</v>
      </c>
      <c r="M122">
        <v>3</v>
      </c>
      <c r="N122" t="s">
        <v>43</v>
      </c>
      <c r="O122">
        <v>9</v>
      </c>
      <c r="P122" t="s">
        <v>61</v>
      </c>
      <c r="Q122">
        <v>12</v>
      </c>
      <c r="R122" t="s">
        <v>46</v>
      </c>
    </row>
    <row r="123" spans="1:21" hidden="1" x14ac:dyDescent="0.3">
      <c r="A123">
        <v>98</v>
      </c>
      <c r="B123" t="s">
        <v>62</v>
      </c>
      <c r="C123">
        <v>4</v>
      </c>
      <c r="D123">
        <v>4</v>
      </c>
      <c r="E123">
        <v>11</v>
      </c>
      <c r="F123">
        <v>39</v>
      </c>
      <c r="G123" t="s">
        <v>56</v>
      </c>
      <c r="H123" t="s">
        <v>35</v>
      </c>
      <c r="I123">
        <v>22</v>
      </c>
      <c r="J123" t="s">
        <v>36</v>
      </c>
      <c r="K123">
        <v>39</v>
      </c>
      <c r="L123" t="b">
        <v>1</v>
      </c>
      <c r="M123">
        <v>99</v>
      </c>
      <c r="N123" t="s">
        <v>57</v>
      </c>
    </row>
    <row r="124" spans="1:21" x14ac:dyDescent="0.3">
      <c r="A124">
        <v>99</v>
      </c>
      <c r="B124" t="s">
        <v>33</v>
      </c>
      <c r="C124">
        <v>4</v>
      </c>
      <c r="D124">
        <v>1</v>
      </c>
      <c r="E124">
        <v>10</v>
      </c>
      <c r="F124">
        <v>3</v>
      </c>
      <c r="G124" t="s">
        <v>42</v>
      </c>
      <c r="H124" t="s">
        <v>35</v>
      </c>
      <c r="I124">
        <v>39</v>
      </c>
      <c r="J124" t="s">
        <v>35</v>
      </c>
      <c r="K124">
        <v>42</v>
      </c>
      <c r="L124" t="b">
        <v>0</v>
      </c>
      <c r="M124">
        <v>47</v>
      </c>
      <c r="N124" t="s">
        <v>49</v>
      </c>
      <c r="Q124">
        <v>99</v>
      </c>
      <c r="R124" t="s">
        <v>54</v>
      </c>
      <c r="S124">
        <v>57</v>
      </c>
      <c r="T124" t="s">
        <v>52</v>
      </c>
    </row>
    <row r="125" spans="1:21" x14ac:dyDescent="0.3">
      <c r="A125">
        <v>100</v>
      </c>
      <c r="B125" t="s">
        <v>33</v>
      </c>
      <c r="C125">
        <v>4</v>
      </c>
      <c r="D125">
        <v>2</v>
      </c>
      <c r="E125">
        <v>7</v>
      </c>
      <c r="F125">
        <v>2</v>
      </c>
      <c r="G125" t="s">
        <v>42</v>
      </c>
      <c r="H125" t="s">
        <v>35</v>
      </c>
      <c r="I125">
        <v>42</v>
      </c>
      <c r="J125" t="s">
        <v>35</v>
      </c>
      <c r="K125">
        <v>44</v>
      </c>
      <c r="L125" t="b">
        <v>0</v>
      </c>
      <c r="M125">
        <v>16</v>
      </c>
      <c r="N125" t="s">
        <v>61</v>
      </c>
      <c r="Q125">
        <v>3</v>
      </c>
      <c r="R125" t="s">
        <v>52</v>
      </c>
    </row>
    <row r="126" spans="1:21" x14ac:dyDescent="0.3">
      <c r="A126">
        <v>101</v>
      </c>
      <c r="B126" t="s">
        <v>33</v>
      </c>
      <c r="C126">
        <v>4</v>
      </c>
      <c r="D126">
        <v>3</v>
      </c>
      <c r="E126">
        <v>5</v>
      </c>
      <c r="F126">
        <v>7</v>
      </c>
      <c r="G126" t="s">
        <v>42</v>
      </c>
      <c r="H126" t="s">
        <v>35</v>
      </c>
      <c r="I126">
        <v>44</v>
      </c>
      <c r="J126" t="s">
        <v>36</v>
      </c>
      <c r="K126">
        <v>49</v>
      </c>
      <c r="L126" t="b">
        <v>0</v>
      </c>
      <c r="M126">
        <v>47</v>
      </c>
      <c r="N126" t="s">
        <v>49</v>
      </c>
      <c r="Q126">
        <v>99</v>
      </c>
      <c r="R126" t="s">
        <v>54</v>
      </c>
    </row>
    <row r="127" spans="1:21" x14ac:dyDescent="0.3">
      <c r="A127">
        <v>102</v>
      </c>
      <c r="B127" t="s">
        <v>33</v>
      </c>
      <c r="C127">
        <v>4</v>
      </c>
      <c r="D127">
        <v>1</v>
      </c>
      <c r="E127">
        <v>10</v>
      </c>
      <c r="F127">
        <v>0</v>
      </c>
      <c r="G127" t="s">
        <v>42</v>
      </c>
      <c r="H127" t="s">
        <v>36</v>
      </c>
      <c r="I127">
        <v>49</v>
      </c>
      <c r="J127" t="s">
        <v>36</v>
      </c>
      <c r="K127">
        <v>49</v>
      </c>
      <c r="L127" t="b">
        <v>0</v>
      </c>
      <c r="M127">
        <v>47</v>
      </c>
      <c r="N127" t="s">
        <v>49</v>
      </c>
      <c r="Q127">
        <v>61</v>
      </c>
      <c r="R127" t="s">
        <v>54</v>
      </c>
    </row>
    <row r="128" spans="1:21" hidden="1" x14ac:dyDescent="0.3">
      <c r="A128">
        <v>103</v>
      </c>
      <c r="B128" t="s">
        <v>33</v>
      </c>
      <c r="C128">
        <v>4</v>
      </c>
      <c r="D128">
        <v>2</v>
      </c>
      <c r="E128">
        <v>10</v>
      </c>
      <c r="F128">
        <v>-1</v>
      </c>
      <c r="G128" t="s">
        <v>81</v>
      </c>
      <c r="H128" t="s">
        <v>36</v>
      </c>
      <c r="I128">
        <v>49</v>
      </c>
      <c r="J128" t="s">
        <v>35</v>
      </c>
      <c r="K128">
        <v>50</v>
      </c>
      <c r="L128" t="b">
        <v>0</v>
      </c>
      <c r="M128">
        <v>4</v>
      </c>
      <c r="N128" t="s">
        <v>43</v>
      </c>
      <c r="O128">
        <v>16</v>
      </c>
      <c r="P128" t="s">
        <v>61</v>
      </c>
      <c r="Q128">
        <v>3</v>
      </c>
      <c r="R128" t="s">
        <v>52</v>
      </c>
      <c r="U128" t="s">
        <v>55</v>
      </c>
    </row>
    <row r="129" spans="1:21" hidden="1" x14ac:dyDescent="0.3">
      <c r="A129">
        <v>104</v>
      </c>
      <c r="B129" t="s">
        <v>33</v>
      </c>
      <c r="C129">
        <v>4</v>
      </c>
      <c r="D129">
        <v>3</v>
      </c>
      <c r="E129">
        <v>11</v>
      </c>
      <c r="F129">
        <v>7</v>
      </c>
      <c r="G129" t="s">
        <v>81</v>
      </c>
      <c r="H129" t="s">
        <v>35</v>
      </c>
      <c r="I129">
        <v>50</v>
      </c>
      <c r="J129" t="s">
        <v>36</v>
      </c>
      <c r="K129">
        <v>43</v>
      </c>
      <c r="L129" t="b">
        <v>0</v>
      </c>
      <c r="M129">
        <v>9</v>
      </c>
      <c r="N129" t="s">
        <v>43</v>
      </c>
      <c r="O129">
        <v>16</v>
      </c>
      <c r="P129" t="s">
        <v>61</v>
      </c>
      <c r="Q129">
        <v>3</v>
      </c>
      <c r="R129" t="s">
        <v>52</v>
      </c>
      <c r="S129">
        <v>2</v>
      </c>
      <c r="T129" t="s">
        <v>46</v>
      </c>
    </row>
    <row r="130" spans="1:21" hidden="1" x14ac:dyDescent="0.3">
      <c r="A130">
        <v>105</v>
      </c>
      <c r="B130" t="s">
        <v>33</v>
      </c>
      <c r="C130">
        <v>4</v>
      </c>
      <c r="D130">
        <v>4</v>
      </c>
      <c r="E130">
        <v>4</v>
      </c>
      <c r="F130">
        <v>0</v>
      </c>
      <c r="G130" t="s">
        <v>50</v>
      </c>
      <c r="I130">
        <v>5</v>
      </c>
      <c r="L130" t="b">
        <v>0</v>
      </c>
      <c r="U130" t="s">
        <v>51</v>
      </c>
    </row>
    <row r="131" spans="1:21" hidden="1" x14ac:dyDescent="0.3">
      <c r="A131">
        <v>106</v>
      </c>
      <c r="B131" t="s">
        <v>33</v>
      </c>
      <c r="C131">
        <v>4</v>
      </c>
      <c r="D131">
        <v>1</v>
      </c>
      <c r="E131">
        <v>10</v>
      </c>
      <c r="F131">
        <v>6</v>
      </c>
      <c r="G131" t="s">
        <v>81</v>
      </c>
      <c r="H131" t="s">
        <v>36</v>
      </c>
      <c r="I131">
        <v>38</v>
      </c>
      <c r="J131" t="s">
        <v>36</v>
      </c>
      <c r="K131">
        <v>32</v>
      </c>
      <c r="L131" t="b">
        <v>0</v>
      </c>
      <c r="M131">
        <v>22</v>
      </c>
      <c r="N131" t="s">
        <v>43</v>
      </c>
      <c r="O131">
        <v>16</v>
      </c>
      <c r="P131" t="s">
        <v>61</v>
      </c>
      <c r="Q131">
        <v>19</v>
      </c>
      <c r="R131" t="s">
        <v>46</v>
      </c>
    </row>
    <row r="132" spans="1:21" hidden="1" x14ac:dyDescent="0.3">
      <c r="A132">
        <v>107</v>
      </c>
      <c r="B132" t="s">
        <v>33</v>
      </c>
      <c r="C132">
        <v>4</v>
      </c>
      <c r="D132">
        <v>2</v>
      </c>
      <c r="E132">
        <v>4</v>
      </c>
      <c r="F132">
        <v>0</v>
      </c>
      <c r="G132" t="s">
        <v>71</v>
      </c>
      <c r="H132" t="s">
        <v>36</v>
      </c>
      <c r="I132">
        <v>32</v>
      </c>
      <c r="J132" t="s">
        <v>36</v>
      </c>
      <c r="K132">
        <v>32</v>
      </c>
      <c r="L132" t="b">
        <v>0</v>
      </c>
      <c r="M132">
        <v>4</v>
      </c>
      <c r="N132" t="s">
        <v>43</v>
      </c>
      <c r="O132">
        <v>16</v>
      </c>
      <c r="P132" t="s">
        <v>61</v>
      </c>
    </row>
    <row r="133" spans="1:21" hidden="1" x14ac:dyDescent="0.3">
      <c r="A133">
        <v>108</v>
      </c>
      <c r="B133" t="s">
        <v>33</v>
      </c>
      <c r="C133">
        <v>4</v>
      </c>
      <c r="D133">
        <v>3</v>
      </c>
      <c r="E133">
        <v>4</v>
      </c>
      <c r="F133">
        <v>0</v>
      </c>
      <c r="G133" t="s">
        <v>71</v>
      </c>
      <c r="H133" t="s">
        <v>36</v>
      </c>
      <c r="I133">
        <v>32</v>
      </c>
      <c r="J133" t="s">
        <v>36</v>
      </c>
      <c r="K133">
        <v>32</v>
      </c>
      <c r="L133" t="b">
        <v>0</v>
      </c>
      <c r="M133">
        <v>9</v>
      </c>
      <c r="N133" t="s">
        <v>43</v>
      </c>
      <c r="O133">
        <v>16</v>
      </c>
      <c r="P133" t="s">
        <v>61</v>
      </c>
    </row>
    <row r="134" spans="1:21" x14ac:dyDescent="0.3">
      <c r="A134">
        <v>109</v>
      </c>
      <c r="B134" t="s">
        <v>33</v>
      </c>
      <c r="C134">
        <v>4</v>
      </c>
      <c r="D134">
        <v>4</v>
      </c>
      <c r="E134">
        <v>4</v>
      </c>
      <c r="F134">
        <v>4</v>
      </c>
      <c r="G134" t="s">
        <v>42</v>
      </c>
      <c r="H134" t="s">
        <v>36</v>
      </c>
      <c r="I134">
        <v>32</v>
      </c>
      <c r="J134" t="s">
        <v>36</v>
      </c>
      <c r="K134">
        <v>28</v>
      </c>
      <c r="L134" t="b">
        <v>0</v>
      </c>
      <c r="M134">
        <v>25</v>
      </c>
      <c r="N134" t="s">
        <v>43</v>
      </c>
      <c r="Q134">
        <v>3</v>
      </c>
      <c r="R134" t="s">
        <v>52</v>
      </c>
    </row>
    <row r="135" spans="1:21" hidden="1" x14ac:dyDescent="0.3">
      <c r="A135">
        <v>110</v>
      </c>
      <c r="B135" t="s">
        <v>38</v>
      </c>
      <c r="C135">
        <v>4</v>
      </c>
      <c r="D135">
        <v>1</v>
      </c>
      <c r="E135">
        <v>10</v>
      </c>
      <c r="F135">
        <v>0</v>
      </c>
      <c r="G135" t="s">
        <v>71</v>
      </c>
      <c r="H135" t="s">
        <v>35</v>
      </c>
      <c r="I135">
        <v>28</v>
      </c>
      <c r="J135" t="s">
        <v>35</v>
      </c>
      <c r="K135">
        <v>28</v>
      </c>
      <c r="L135" t="b">
        <v>0</v>
      </c>
      <c r="M135">
        <v>99</v>
      </c>
      <c r="N135" t="s">
        <v>53</v>
      </c>
      <c r="O135">
        <v>9</v>
      </c>
      <c r="P135" t="s">
        <v>61</v>
      </c>
    </row>
    <row r="136" spans="1:21" hidden="1" x14ac:dyDescent="0.3">
      <c r="A136">
        <v>111</v>
      </c>
      <c r="B136" t="s">
        <v>38</v>
      </c>
      <c r="C136">
        <v>4</v>
      </c>
      <c r="D136">
        <v>2</v>
      </c>
      <c r="E136">
        <v>10</v>
      </c>
      <c r="F136">
        <v>0</v>
      </c>
      <c r="G136" t="s">
        <v>71</v>
      </c>
      <c r="H136" t="s">
        <v>35</v>
      </c>
      <c r="I136">
        <v>28</v>
      </c>
      <c r="J136" t="s">
        <v>35</v>
      </c>
      <c r="K136">
        <v>28</v>
      </c>
      <c r="L136" t="b">
        <v>0</v>
      </c>
      <c r="M136">
        <v>33</v>
      </c>
      <c r="N136" t="s">
        <v>43</v>
      </c>
      <c r="O136">
        <v>9</v>
      </c>
      <c r="P136" t="s">
        <v>61</v>
      </c>
      <c r="Q136">
        <v>87</v>
      </c>
      <c r="R136" t="s">
        <v>46</v>
      </c>
    </row>
    <row r="137" spans="1:21" hidden="1" x14ac:dyDescent="0.3">
      <c r="A137">
        <v>112</v>
      </c>
      <c r="B137" t="s">
        <v>38</v>
      </c>
      <c r="C137">
        <v>4</v>
      </c>
      <c r="D137">
        <v>3</v>
      </c>
      <c r="E137">
        <v>10</v>
      </c>
      <c r="F137">
        <v>-4</v>
      </c>
      <c r="G137" t="s">
        <v>42</v>
      </c>
      <c r="H137" t="s">
        <v>35</v>
      </c>
      <c r="I137">
        <v>28</v>
      </c>
      <c r="J137" t="s">
        <v>35</v>
      </c>
      <c r="K137">
        <v>24</v>
      </c>
      <c r="L137" t="b">
        <v>0</v>
      </c>
      <c r="M137">
        <v>25</v>
      </c>
      <c r="N137" t="s">
        <v>49</v>
      </c>
      <c r="Q137">
        <v>78</v>
      </c>
      <c r="R137" t="s">
        <v>54</v>
      </c>
      <c r="S137">
        <v>47</v>
      </c>
      <c r="T137" t="s">
        <v>52</v>
      </c>
      <c r="U137" t="s">
        <v>55</v>
      </c>
    </row>
    <row r="138" spans="1:21" hidden="1" x14ac:dyDescent="0.3">
      <c r="A138">
        <v>113</v>
      </c>
      <c r="B138" t="s">
        <v>38</v>
      </c>
      <c r="C138">
        <v>4</v>
      </c>
      <c r="D138">
        <v>4</v>
      </c>
      <c r="E138">
        <v>14</v>
      </c>
      <c r="F138">
        <v>0</v>
      </c>
      <c r="G138" t="s">
        <v>50</v>
      </c>
      <c r="I138">
        <v>5</v>
      </c>
      <c r="L138" t="b">
        <v>0</v>
      </c>
      <c r="U138" t="s">
        <v>51</v>
      </c>
    </row>
    <row r="139" spans="1:21" hidden="1" x14ac:dyDescent="0.3">
      <c r="A139">
        <v>114</v>
      </c>
      <c r="B139" t="s">
        <v>38</v>
      </c>
      <c r="C139">
        <v>4</v>
      </c>
      <c r="D139">
        <v>4</v>
      </c>
      <c r="E139">
        <v>19</v>
      </c>
      <c r="F139">
        <v>-19</v>
      </c>
      <c r="G139" t="s">
        <v>56</v>
      </c>
      <c r="H139" t="s">
        <v>35</v>
      </c>
      <c r="I139">
        <v>19</v>
      </c>
      <c r="J139" t="s">
        <v>35</v>
      </c>
      <c r="K139">
        <v>0</v>
      </c>
      <c r="L139" t="b">
        <v>1</v>
      </c>
      <c r="U139" t="s">
        <v>58</v>
      </c>
    </row>
    <row r="140" spans="1:21" hidden="1" x14ac:dyDescent="0.3">
      <c r="A140">
        <v>115</v>
      </c>
      <c r="B140" t="s">
        <v>38</v>
      </c>
      <c r="C140">
        <v>4</v>
      </c>
      <c r="F140">
        <v>77</v>
      </c>
      <c r="G140" t="s">
        <v>34</v>
      </c>
      <c r="H140" t="s">
        <v>35</v>
      </c>
      <c r="I140">
        <v>20</v>
      </c>
      <c r="J140" t="s">
        <v>36</v>
      </c>
      <c r="K140">
        <v>3</v>
      </c>
      <c r="L140" t="b">
        <v>1</v>
      </c>
      <c r="M140">
        <v>99</v>
      </c>
      <c r="N140" t="s">
        <v>37</v>
      </c>
    </row>
    <row r="141" spans="1:21" hidden="1" x14ac:dyDescent="0.3">
      <c r="A141">
        <v>116</v>
      </c>
      <c r="B141" t="s">
        <v>79</v>
      </c>
      <c r="C141">
        <v>4</v>
      </c>
      <c r="F141">
        <v>8</v>
      </c>
      <c r="G141" t="s">
        <v>39</v>
      </c>
      <c r="H141" t="s">
        <v>35</v>
      </c>
      <c r="I141">
        <v>3</v>
      </c>
      <c r="J141" t="s">
        <v>35</v>
      </c>
      <c r="K141">
        <v>11</v>
      </c>
      <c r="L141" t="b">
        <v>1</v>
      </c>
      <c r="M141">
        <v>87</v>
      </c>
      <c r="N141" t="s">
        <v>82</v>
      </c>
      <c r="U141" t="s">
        <v>41</v>
      </c>
    </row>
    <row r="142" spans="1:21" hidden="1" x14ac:dyDescent="0.3">
      <c r="A142">
        <v>117</v>
      </c>
      <c r="B142" t="s">
        <v>79</v>
      </c>
      <c r="C142">
        <v>4</v>
      </c>
      <c r="D142">
        <v>1</v>
      </c>
      <c r="E142">
        <v>10</v>
      </c>
      <c r="F142">
        <v>0</v>
      </c>
      <c r="G142" t="s">
        <v>71</v>
      </c>
      <c r="H142" t="s">
        <v>35</v>
      </c>
      <c r="I142">
        <v>11</v>
      </c>
      <c r="J142" t="s">
        <v>35</v>
      </c>
      <c r="K142">
        <v>11</v>
      </c>
      <c r="L142" t="b">
        <v>0</v>
      </c>
      <c r="M142">
        <v>9</v>
      </c>
      <c r="N142" t="s">
        <v>43</v>
      </c>
      <c r="O142">
        <v>16</v>
      </c>
      <c r="P142" t="s">
        <v>61</v>
      </c>
    </row>
    <row r="143" spans="1:21" x14ac:dyDescent="0.3">
      <c r="A143">
        <v>118</v>
      </c>
      <c r="B143" t="s">
        <v>79</v>
      </c>
      <c r="C143">
        <v>4</v>
      </c>
      <c r="D143">
        <v>2</v>
      </c>
      <c r="E143">
        <v>10</v>
      </c>
      <c r="F143">
        <v>36</v>
      </c>
      <c r="G143" t="s">
        <v>42</v>
      </c>
      <c r="H143" t="s">
        <v>35</v>
      </c>
      <c r="I143">
        <v>11</v>
      </c>
      <c r="J143" t="s">
        <v>35</v>
      </c>
      <c r="K143">
        <v>47</v>
      </c>
      <c r="L143" t="b">
        <v>0</v>
      </c>
      <c r="M143">
        <v>47</v>
      </c>
      <c r="N143" t="s">
        <v>49</v>
      </c>
      <c r="Q143">
        <v>16</v>
      </c>
      <c r="R143" t="s">
        <v>46</v>
      </c>
    </row>
    <row r="144" spans="1:21" hidden="1" x14ac:dyDescent="0.3">
      <c r="A144">
        <v>119</v>
      </c>
      <c r="B144" t="s">
        <v>79</v>
      </c>
      <c r="C144">
        <v>4</v>
      </c>
      <c r="D144">
        <v>1</v>
      </c>
      <c r="E144">
        <v>10</v>
      </c>
      <c r="F144">
        <v>0</v>
      </c>
      <c r="G144" t="s">
        <v>71</v>
      </c>
      <c r="H144" t="s">
        <v>35</v>
      </c>
      <c r="I144">
        <v>47</v>
      </c>
      <c r="J144" t="s">
        <v>35</v>
      </c>
      <c r="K144">
        <v>47</v>
      </c>
      <c r="L144" t="b">
        <v>0</v>
      </c>
      <c r="M144">
        <v>21</v>
      </c>
      <c r="N144" t="s">
        <v>43</v>
      </c>
      <c r="O144">
        <v>16</v>
      </c>
      <c r="P144" t="s">
        <v>61</v>
      </c>
    </row>
    <row r="145" spans="1:21" hidden="1" x14ac:dyDescent="0.3">
      <c r="A145">
        <v>120</v>
      </c>
      <c r="B145" t="s">
        <v>79</v>
      </c>
      <c r="C145">
        <v>4</v>
      </c>
      <c r="D145">
        <v>2</v>
      </c>
      <c r="E145">
        <v>10</v>
      </c>
      <c r="F145">
        <v>0</v>
      </c>
      <c r="G145" t="s">
        <v>71</v>
      </c>
      <c r="H145" t="s">
        <v>35</v>
      </c>
      <c r="I145">
        <v>47</v>
      </c>
      <c r="J145" t="s">
        <v>35</v>
      </c>
      <c r="K145">
        <v>47</v>
      </c>
      <c r="L145" t="b">
        <v>0</v>
      </c>
      <c r="M145">
        <v>7</v>
      </c>
      <c r="N145" t="s">
        <v>43</v>
      </c>
      <c r="O145">
        <v>16</v>
      </c>
      <c r="P145" t="s">
        <v>61</v>
      </c>
    </row>
    <row r="146" spans="1:21" x14ac:dyDescent="0.3">
      <c r="A146">
        <v>121</v>
      </c>
      <c r="B146" t="s">
        <v>79</v>
      </c>
      <c r="C146">
        <v>4</v>
      </c>
      <c r="D146">
        <v>3</v>
      </c>
      <c r="E146">
        <v>10</v>
      </c>
      <c r="F146">
        <v>50</v>
      </c>
      <c r="G146" t="s">
        <v>42</v>
      </c>
      <c r="H146" t="s">
        <v>35</v>
      </c>
      <c r="I146">
        <v>47</v>
      </c>
      <c r="J146" t="s">
        <v>36</v>
      </c>
      <c r="K146">
        <v>3</v>
      </c>
      <c r="L146" t="b">
        <v>0</v>
      </c>
      <c r="M146">
        <v>22</v>
      </c>
      <c r="N146" t="s">
        <v>43</v>
      </c>
      <c r="Q146">
        <v>1</v>
      </c>
      <c r="R146" t="s">
        <v>46</v>
      </c>
      <c r="S146">
        <v>14</v>
      </c>
      <c r="T146" t="s">
        <v>46</v>
      </c>
    </row>
    <row r="147" spans="1:21" hidden="1" x14ac:dyDescent="0.3">
      <c r="A147">
        <v>122</v>
      </c>
      <c r="B147" t="s">
        <v>79</v>
      </c>
      <c r="C147">
        <v>4</v>
      </c>
      <c r="D147">
        <v>1</v>
      </c>
      <c r="E147">
        <v>3</v>
      </c>
      <c r="F147">
        <v>3</v>
      </c>
      <c r="G147" t="s">
        <v>72</v>
      </c>
      <c r="H147" t="s">
        <v>36</v>
      </c>
      <c r="I147">
        <v>3</v>
      </c>
      <c r="J147" t="s">
        <v>36</v>
      </c>
      <c r="K147">
        <v>0</v>
      </c>
      <c r="L147" t="b">
        <v>0</v>
      </c>
      <c r="M147">
        <v>27</v>
      </c>
      <c r="N147" t="s">
        <v>43</v>
      </c>
      <c r="O147">
        <v>16</v>
      </c>
      <c r="P147" t="s">
        <v>61</v>
      </c>
      <c r="U147" t="s">
        <v>65</v>
      </c>
    </row>
    <row r="148" spans="1:21" hidden="1" x14ac:dyDescent="0.3">
      <c r="A148">
        <v>123</v>
      </c>
      <c r="B148" t="s">
        <v>33</v>
      </c>
      <c r="C148">
        <v>4</v>
      </c>
      <c r="F148">
        <v>0</v>
      </c>
      <c r="G148" t="s">
        <v>50</v>
      </c>
      <c r="I148">
        <v>5</v>
      </c>
      <c r="L148" t="b">
        <v>0</v>
      </c>
      <c r="U148" t="s">
        <v>68</v>
      </c>
    </row>
    <row r="149" spans="1:21" hidden="1" x14ac:dyDescent="0.3">
      <c r="A149">
        <v>124</v>
      </c>
      <c r="B149" t="s">
        <v>33</v>
      </c>
      <c r="C149">
        <v>4</v>
      </c>
      <c r="F149">
        <v>0</v>
      </c>
      <c r="G149" t="s">
        <v>73</v>
      </c>
      <c r="L149" t="b">
        <v>0</v>
      </c>
      <c r="M149">
        <v>27</v>
      </c>
      <c r="N149" t="s">
        <v>43</v>
      </c>
      <c r="U149" t="s">
        <v>83</v>
      </c>
    </row>
    <row r="150" spans="1:21" hidden="1" x14ac:dyDescent="0.3">
      <c r="A150">
        <v>125</v>
      </c>
      <c r="B150" t="s">
        <v>33</v>
      </c>
      <c r="C150">
        <v>4</v>
      </c>
      <c r="F150">
        <v>53</v>
      </c>
      <c r="G150" t="s">
        <v>34</v>
      </c>
      <c r="H150" t="s">
        <v>35</v>
      </c>
      <c r="I150">
        <v>35</v>
      </c>
      <c r="J150" t="s">
        <v>36</v>
      </c>
      <c r="K150">
        <v>12</v>
      </c>
      <c r="L150" t="b">
        <v>1</v>
      </c>
      <c r="M150">
        <v>87</v>
      </c>
      <c r="N150" t="s">
        <v>37</v>
      </c>
    </row>
    <row r="151" spans="1:21" hidden="1" x14ac:dyDescent="0.3">
      <c r="A151">
        <v>125</v>
      </c>
      <c r="B151" t="s">
        <v>38</v>
      </c>
      <c r="C151">
        <v>4</v>
      </c>
      <c r="F151">
        <v>47</v>
      </c>
      <c r="G151" t="s">
        <v>39</v>
      </c>
      <c r="H151" t="s">
        <v>35</v>
      </c>
      <c r="I151">
        <v>12</v>
      </c>
      <c r="J151" t="s">
        <v>36</v>
      </c>
      <c r="K151">
        <v>41</v>
      </c>
      <c r="L151" t="b">
        <v>1</v>
      </c>
      <c r="M151">
        <v>3</v>
      </c>
      <c r="N151" t="s">
        <v>43</v>
      </c>
      <c r="U151" t="s">
        <v>41</v>
      </c>
    </row>
    <row r="152" spans="1:21" hidden="1" x14ac:dyDescent="0.3">
      <c r="A152">
        <v>126</v>
      </c>
      <c r="B152" t="s">
        <v>38</v>
      </c>
      <c r="C152">
        <v>4</v>
      </c>
      <c r="D152">
        <v>1</v>
      </c>
      <c r="E152">
        <v>10</v>
      </c>
      <c r="F152">
        <v>11</v>
      </c>
      <c r="G152" t="s">
        <v>72</v>
      </c>
      <c r="H152" t="s">
        <v>36</v>
      </c>
      <c r="I152">
        <v>41</v>
      </c>
      <c r="J152" t="s">
        <v>36</v>
      </c>
      <c r="K152">
        <v>30</v>
      </c>
      <c r="L152" t="b">
        <v>0</v>
      </c>
      <c r="M152">
        <v>3</v>
      </c>
      <c r="N152" t="s">
        <v>43</v>
      </c>
      <c r="O152">
        <v>9</v>
      </c>
      <c r="P152" t="s">
        <v>61</v>
      </c>
      <c r="Q152">
        <v>4</v>
      </c>
      <c r="R152" t="s">
        <v>52</v>
      </c>
      <c r="S152">
        <v>56</v>
      </c>
      <c r="T152" t="s">
        <v>54</v>
      </c>
    </row>
    <row r="153" spans="1:21" hidden="1" x14ac:dyDescent="0.3">
      <c r="A153">
        <v>127</v>
      </c>
      <c r="B153" t="s">
        <v>38</v>
      </c>
      <c r="C153">
        <v>4</v>
      </c>
      <c r="D153">
        <v>1</v>
      </c>
      <c r="E153">
        <v>10</v>
      </c>
      <c r="F153">
        <v>0</v>
      </c>
      <c r="G153" t="s">
        <v>71</v>
      </c>
      <c r="H153" t="s">
        <v>36</v>
      </c>
      <c r="I153">
        <v>30</v>
      </c>
      <c r="J153" t="s">
        <v>36</v>
      </c>
      <c r="K153">
        <v>30</v>
      </c>
      <c r="L153" t="b">
        <v>0</v>
      </c>
      <c r="M153">
        <v>3</v>
      </c>
      <c r="N153" t="s">
        <v>43</v>
      </c>
      <c r="O153">
        <v>9</v>
      </c>
      <c r="P153" t="s">
        <v>61</v>
      </c>
    </row>
    <row r="154" spans="1:21" hidden="1" x14ac:dyDescent="0.3">
      <c r="A154">
        <v>128</v>
      </c>
      <c r="B154" t="s">
        <v>38</v>
      </c>
      <c r="C154">
        <v>4</v>
      </c>
      <c r="D154">
        <v>2</v>
      </c>
      <c r="E154">
        <v>10</v>
      </c>
      <c r="F154">
        <v>0</v>
      </c>
      <c r="G154" t="s">
        <v>71</v>
      </c>
      <c r="H154" t="s">
        <v>36</v>
      </c>
      <c r="I154">
        <v>30</v>
      </c>
      <c r="J154" t="s">
        <v>36</v>
      </c>
      <c r="K154">
        <v>30</v>
      </c>
      <c r="L154" t="b">
        <v>0</v>
      </c>
      <c r="M154">
        <v>3</v>
      </c>
      <c r="N154" t="s">
        <v>43</v>
      </c>
      <c r="O154">
        <v>9</v>
      </c>
      <c r="P154" t="s">
        <v>61</v>
      </c>
      <c r="Q154">
        <v>12</v>
      </c>
      <c r="R154" t="s">
        <v>46</v>
      </c>
    </row>
    <row r="155" spans="1:21" hidden="1" x14ac:dyDescent="0.3">
      <c r="A155">
        <v>129</v>
      </c>
      <c r="B155" t="s">
        <v>38</v>
      </c>
      <c r="C155">
        <v>4</v>
      </c>
      <c r="D155">
        <v>3</v>
      </c>
      <c r="E155">
        <v>10</v>
      </c>
      <c r="F155">
        <v>15</v>
      </c>
      <c r="G155" t="s">
        <v>42</v>
      </c>
      <c r="H155" t="s">
        <v>36</v>
      </c>
      <c r="I155">
        <v>30</v>
      </c>
      <c r="J155" t="s">
        <v>36</v>
      </c>
      <c r="K155">
        <v>15</v>
      </c>
      <c r="L155" t="b">
        <v>0</v>
      </c>
      <c r="M155">
        <v>25</v>
      </c>
      <c r="N155" t="s">
        <v>49</v>
      </c>
      <c r="Q155">
        <v>25</v>
      </c>
      <c r="R155" t="s">
        <v>46</v>
      </c>
    </row>
    <row r="156" spans="1:21" hidden="1" x14ac:dyDescent="0.3">
      <c r="A156">
        <v>130</v>
      </c>
      <c r="B156" t="s">
        <v>38</v>
      </c>
      <c r="C156">
        <v>4</v>
      </c>
      <c r="D156">
        <v>1</v>
      </c>
      <c r="E156">
        <v>10</v>
      </c>
      <c r="F156">
        <v>0</v>
      </c>
      <c r="G156" t="s">
        <v>71</v>
      </c>
      <c r="H156" t="s">
        <v>36</v>
      </c>
      <c r="I156">
        <v>15</v>
      </c>
      <c r="J156" t="s">
        <v>36</v>
      </c>
      <c r="K156">
        <v>15</v>
      </c>
      <c r="L156" t="b">
        <v>0</v>
      </c>
      <c r="M156">
        <v>17</v>
      </c>
      <c r="N156" t="s">
        <v>43</v>
      </c>
      <c r="O156">
        <v>9</v>
      </c>
      <c r="P156" t="s">
        <v>61</v>
      </c>
    </row>
    <row r="157" spans="1:21" hidden="1" x14ac:dyDescent="0.3">
      <c r="A157">
        <v>131</v>
      </c>
      <c r="B157" t="s">
        <v>38</v>
      </c>
      <c r="C157">
        <v>4</v>
      </c>
      <c r="D157">
        <v>2</v>
      </c>
      <c r="E157">
        <v>10</v>
      </c>
      <c r="F157">
        <v>15</v>
      </c>
      <c r="G157" t="s">
        <v>72</v>
      </c>
      <c r="H157" t="s">
        <v>36</v>
      </c>
      <c r="I157">
        <v>15</v>
      </c>
      <c r="J157" t="s">
        <v>36</v>
      </c>
      <c r="K157">
        <v>0</v>
      </c>
      <c r="L157" t="b">
        <v>0</v>
      </c>
      <c r="M157">
        <v>3</v>
      </c>
      <c r="N157" t="s">
        <v>43</v>
      </c>
      <c r="O157">
        <v>9</v>
      </c>
      <c r="P157" t="s">
        <v>61</v>
      </c>
      <c r="U157" t="s">
        <v>65</v>
      </c>
    </row>
    <row r="158" spans="1:21" hidden="1" x14ac:dyDescent="0.3">
      <c r="A158">
        <v>132</v>
      </c>
      <c r="B158" t="s">
        <v>38</v>
      </c>
      <c r="C158">
        <v>4</v>
      </c>
      <c r="F158">
        <v>0</v>
      </c>
      <c r="G158" t="s">
        <v>73</v>
      </c>
      <c r="L158" t="b">
        <v>0</v>
      </c>
      <c r="M158">
        <v>99</v>
      </c>
      <c r="N158" t="s">
        <v>53</v>
      </c>
      <c r="O158">
        <v>9</v>
      </c>
      <c r="P158" t="s">
        <v>61</v>
      </c>
      <c r="U158" t="s">
        <v>83</v>
      </c>
    </row>
    <row r="159" spans="1:21" hidden="1" x14ac:dyDescent="0.3">
      <c r="A159">
        <v>133</v>
      </c>
      <c r="B159" t="s">
        <v>38</v>
      </c>
      <c r="C159">
        <v>4</v>
      </c>
      <c r="F159">
        <v>23</v>
      </c>
      <c r="G159" t="s">
        <v>34</v>
      </c>
      <c r="H159" t="s">
        <v>35</v>
      </c>
      <c r="I159">
        <v>35</v>
      </c>
      <c r="J159" t="s">
        <v>36</v>
      </c>
      <c r="K159">
        <v>42</v>
      </c>
      <c r="L159" t="b">
        <v>1</v>
      </c>
      <c r="M159">
        <v>0</v>
      </c>
      <c r="N159" t="s">
        <v>37</v>
      </c>
    </row>
    <row r="160" spans="1:21" x14ac:dyDescent="0.3">
      <c r="A160">
        <v>134</v>
      </c>
      <c r="B160" t="s">
        <v>33</v>
      </c>
      <c r="C160">
        <v>4</v>
      </c>
      <c r="D160">
        <v>1</v>
      </c>
      <c r="E160">
        <v>10</v>
      </c>
      <c r="F160">
        <v>-1</v>
      </c>
      <c r="G160" t="s">
        <v>42</v>
      </c>
      <c r="H160" t="s">
        <v>35</v>
      </c>
      <c r="I160">
        <v>42</v>
      </c>
      <c r="J160" t="s">
        <v>35</v>
      </c>
      <c r="K160">
        <v>41</v>
      </c>
      <c r="L160" t="b">
        <v>0</v>
      </c>
      <c r="M160">
        <v>16</v>
      </c>
      <c r="N160" t="s">
        <v>61</v>
      </c>
    </row>
    <row r="162" spans="6:6" x14ac:dyDescent="0.3">
      <c r="F162">
        <f>SUBTOTAL(9,F45:F161)</f>
        <v>261</v>
      </c>
    </row>
  </sheetData>
  <autoFilter ref="A10:X160" xr:uid="{5606CD69-41C7-4BB3-9164-836EBB57893A}">
    <filterColumn colId="1">
      <filters>
        <filter val="Away"/>
      </filters>
    </filterColumn>
    <filterColumn colId="6">
      <filters>
        <filter val="RUN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김우영</dc:creator>
  <cp:lastModifiedBy>김우영</cp:lastModifiedBy>
  <dcterms:created xsi:type="dcterms:W3CDTF">2025-09-07T14:25:20Z</dcterms:created>
  <dcterms:modified xsi:type="dcterms:W3CDTF">2025-09-07T14:38:59Z</dcterms:modified>
</cp:coreProperties>
</file>