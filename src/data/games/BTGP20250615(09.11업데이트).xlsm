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doon2\Desktop\경기데이터수집\"/>
    </mc:Choice>
  </mc:AlternateContent>
  <xr:revisionPtr revIDLastSave="0" documentId="8_{7C1A0E96-C896-4C9F-A111-FC49ACA3DBAF}" xr6:coauthVersionLast="47" xr6:coauthVersionMax="47" xr10:uidLastSave="{00000000-0000-0000-0000-000000000000}"/>
  <bookViews>
    <workbookView xWindow="-120" yWindow="-120" windowWidth="29040" windowHeight="15720" activeTab="1" xr2:uid="{34BD4362-EE9F-4696-B0ED-DAC8414F8FB8}"/>
  </bookViews>
  <sheets>
    <sheet name="Index" sheetId="2" r:id="rId1"/>
    <sheet name="DataSheet" sheetId="1" r:id="rId2"/>
  </sheets>
  <definedNames>
    <definedName name="_xlpm.bgn" hidden="1" xlm="1">#NAME?</definedName>
    <definedName name="_xlpm.city" hidden="1" xlm="1">#NAME?</definedName>
    <definedName name="_xlpm.dgb" hidden="1" xlm="1">#NAME?</definedName>
    <definedName name="_xlpm.ggw" hidden="1" xlm="1">#NAME?</definedName>
    <definedName name="_xlpm.K" hidden="1" xlm="1">#NAME?</definedName>
    <definedName name="_xlpm.KN" hidden="1" xlm="1">#NAME?</definedName>
    <definedName name="_xlpm.KNF" hidden="1" xlm="1">#NAME?</definedName>
    <definedName name="_xlpm.KNFL" hidden="1" xlm="1">#NAME?</definedName>
    <definedName name="_xlpm.s" hidden="1" xlm="1">#NAME?</definedName>
    <definedName name="_xlpm.seoul" hidden="1" xlm="1">#NAME?</definedName>
    <definedName name="_xlpm.so" hidden="1" xlm="1">#NAME?</definedName>
    <definedName name="_xlpm.soc" hidden="1" xlm="1">#NAME?</definedName>
    <definedName name="_xlpm.societ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2" l="1" a="1"/>
  <c r="AA4" i="2" s="1"/>
  <c r="C12" i="2"/>
  <c r="J17" i="2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<sst xmlns="http://schemas.openxmlformats.org/spreadsheetml/2006/main" count="1110" uniqueCount="137">
  <si>
    <t>Offense Team</t>
    <phoneticPr fontId="2" type="noConversion"/>
  </si>
  <si>
    <t>Down</t>
  </si>
  <si>
    <t>Quarter</t>
    <phoneticPr fontId="2" type="noConversion"/>
  </si>
  <si>
    <t>PAT</t>
    <phoneticPr fontId="2" type="noConversion"/>
  </si>
  <si>
    <t>TFL</t>
    <phoneticPr fontId="2" type="noConversion"/>
  </si>
  <si>
    <t>FG</t>
    <phoneticPr fontId="2" type="noConversion"/>
  </si>
  <si>
    <t>GameKey</t>
    <phoneticPr fontId="2" type="noConversion"/>
  </si>
  <si>
    <t>Date</t>
    <phoneticPr fontId="2" type="noConversion"/>
  </si>
  <si>
    <t>Home</t>
    <phoneticPr fontId="2" type="noConversion"/>
  </si>
  <si>
    <t>Away</t>
    <phoneticPr fontId="2" type="noConversion"/>
  </si>
  <si>
    <t>Type</t>
    <phoneticPr fontId="2" type="noConversion"/>
  </si>
  <si>
    <t>Location</t>
    <phoneticPr fontId="2" type="noConversion"/>
  </si>
  <si>
    <t>Score</t>
    <phoneticPr fontId="2" type="noConversion"/>
  </si>
  <si>
    <t>StartYard</t>
    <phoneticPr fontId="2" type="noConversion"/>
  </si>
  <si>
    <t>EndYard</t>
    <phoneticPr fontId="2" type="noConversion"/>
  </si>
  <si>
    <t>GainYard</t>
    <phoneticPr fontId="2" type="noConversion"/>
  </si>
  <si>
    <t>SignificantPlay</t>
    <phoneticPr fontId="2" type="noConversion"/>
  </si>
  <si>
    <t>SignificantPlay2</t>
    <phoneticPr fontId="2" type="noConversion"/>
  </si>
  <si>
    <t>SpecialTeam</t>
    <phoneticPr fontId="2" type="noConversion"/>
  </si>
  <si>
    <t>SignificantPlay3</t>
    <phoneticPr fontId="2" type="noConversion"/>
  </si>
  <si>
    <t>SignificantPlay4</t>
    <phoneticPr fontId="2" type="noConversion"/>
  </si>
  <si>
    <t xml:space="preserve"> </t>
    <phoneticPr fontId="2" type="noConversion"/>
  </si>
  <si>
    <t>입력</t>
    <phoneticPr fontId="2" type="noConversion"/>
  </si>
  <si>
    <t>삭제</t>
    <phoneticPr fontId="2" type="noConversion"/>
  </si>
  <si>
    <t>Json 파일 변환</t>
    <phoneticPr fontId="2" type="noConversion"/>
  </si>
  <si>
    <t>총 클립수</t>
    <phoneticPr fontId="2" type="noConversion"/>
  </si>
  <si>
    <t>드롭다운 형식</t>
    <phoneticPr fontId="2" type="noConversion"/>
  </si>
  <si>
    <t>League</t>
    <phoneticPr fontId="2" type="noConversion"/>
  </si>
  <si>
    <t>Scrimmage</t>
    <phoneticPr fontId="2" type="noConversion"/>
  </si>
  <si>
    <t>FriendlyMatch</t>
    <phoneticPr fontId="2" type="noConversion"/>
  </si>
  <si>
    <t>PlayType</t>
    <phoneticPr fontId="2" type="noConversion"/>
  </si>
  <si>
    <t>Down</t>
    <phoneticPr fontId="2" type="noConversion"/>
  </si>
  <si>
    <t>PASS</t>
    <phoneticPr fontId="2" type="noConversion"/>
  </si>
  <si>
    <t>RUN</t>
    <phoneticPr fontId="2" type="noConversion"/>
  </si>
  <si>
    <t>NOPASS</t>
    <phoneticPr fontId="2" type="noConversion"/>
  </si>
  <si>
    <t>KICKOFF</t>
    <phoneticPr fontId="2" type="noConversion"/>
  </si>
  <si>
    <t>PUNT</t>
    <phoneticPr fontId="2" type="noConversion"/>
  </si>
  <si>
    <t>TPT</t>
    <phoneticPr fontId="2" type="noConversion"/>
  </si>
  <si>
    <t>SACK</t>
    <phoneticPr fontId="2" type="noConversion"/>
  </si>
  <si>
    <t>NONE</t>
    <phoneticPr fontId="2" type="noConversion"/>
  </si>
  <si>
    <t>TOUCHDOWN</t>
    <phoneticPr fontId="2" type="noConversion"/>
  </si>
  <si>
    <t>TWOPTCONV.GOOD</t>
    <phoneticPr fontId="2" type="noConversion"/>
  </si>
  <si>
    <t>TWOPTCONV.NOGOOD</t>
    <phoneticPr fontId="2" type="noConversion"/>
  </si>
  <si>
    <t>PATGOOD</t>
    <phoneticPr fontId="2" type="noConversion"/>
  </si>
  <si>
    <t>PATNOGOOD</t>
    <phoneticPr fontId="2" type="noConversion"/>
  </si>
  <si>
    <t>FIELDGOALGOOD</t>
    <phoneticPr fontId="2" type="noConversion"/>
  </si>
  <si>
    <t>FIELDGOALNOGOOD</t>
    <phoneticPr fontId="2" type="noConversion"/>
  </si>
  <si>
    <t>FUMBLE</t>
    <phoneticPr fontId="2" type="noConversion"/>
  </si>
  <si>
    <t>FUMBLERECOFF</t>
    <phoneticPr fontId="2" type="noConversion"/>
  </si>
  <si>
    <t>FUMBLERECDEF</t>
    <phoneticPr fontId="2" type="noConversion"/>
  </si>
  <si>
    <t>INTERCEPT</t>
    <phoneticPr fontId="2" type="noConversion"/>
  </si>
  <si>
    <t>TURNOVER</t>
    <phoneticPr fontId="2" type="noConversion"/>
  </si>
  <si>
    <t>SAFETY</t>
    <phoneticPr fontId="2" type="noConversion"/>
  </si>
  <si>
    <t>OWN</t>
    <phoneticPr fontId="2" type="noConversion"/>
  </si>
  <si>
    <t>OPP</t>
    <phoneticPr fontId="2" type="noConversion"/>
  </si>
  <si>
    <t>Position</t>
    <phoneticPr fontId="2" type="noConversion"/>
  </si>
  <si>
    <t>QB</t>
    <phoneticPr fontId="2" type="noConversion"/>
  </si>
  <si>
    <t>RB</t>
    <phoneticPr fontId="2" type="noConversion"/>
  </si>
  <si>
    <t>WR</t>
    <phoneticPr fontId="2" type="noConversion"/>
  </si>
  <si>
    <t>TE</t>
    <phoneticPr fontId="2" type="noConversion"/>
  </si>
  <si>
    <t>K</t>
    <phoneticPr fontId="2" type="noConversion"/>
  </si>
  <si>
    <t>P</t>
    <phoneticPr fontId="2" type="noConversion"/>
  </si>
  <si>
    <t>OL</t>
    <phoneticPr fontId="2" type="noConversion"/>
  </si>
  <si>
    <t>DL</t>
    <phoneticPr fontId="2" type="noConversion"/>
  </si>
  <si>
    <t>LB</t>
    <phoneticPr fontId="2" type="noConversion"/>
  </si>
  <si>
    <t>DB</t>
    <phoneticPr fontId="2" type="noConversion"/>
  </si>
  <si>
    <t>OffenseTeam</t>
    <phoneticPr fontId="2" type="noConversion"/>
  </si>
  <si>
    <t>StartYardLocation</t>
    <phoneticPr fontId="2" type="noConversion"/>
  </si>
  <si>
    <t>EndYardLocation</t>
    <phoneticPr fontId="2" type="noConversion"/>
  </si>
  <si>
    <t>CARNum</t>
    <phoneticPr fontId="2" type="noConversion"/>
  </si>
  <si>
    <t>CARPos</t>
    <phoneticPr fontId="2" type="noConversion"/>
  </si>
  <si>
    <t>CAR2Num</t>
    <phoneticPr fontId="2" type="noConversion"/>
  </si>
  <si>
    <t>CAR2Pos</t>
    <phoneticPr fontId="2" type="noConversion"/>
  </si>
  <si>
    <t>TKLNum</t>
    <phoneticPr fontId="2" type="noConversion"/>
  </si>
  <si>
    <t>TKLPos</t>
    <phoneticPr fontId="2" type="noConversion"/>
  </si>
  <si>
    <t>TKL2Num</t>
    <phoneticPr fontId="2" type="noConversion"/>
  </si>
  <si>
    <t>TKL2Pos</t>
    <phoneticPr fontId="2" type="noConversion"/>
  </si>
  <si>
    <r>
      <t xml:space="preserve">사용법 절대 색 있는 곳 말고는 다른 곳은 건들지 말 것
날짜 입력은 </t>
    </r>
    <r>
      <rPr>
        <b/>
        <u/>
        <sz val="11"/>
        <color theme="1"/>
        <rFont val="맑은 고딕"/>
        <family val="3"/>
        <charset val="129"/>
        <scheme val="minor"/>
      </rPr>
      <t>날짜 입력 클릭</t>
    </r>
    <r>
      <rPr>
        <b/>
        <sz val="11"/>
        <color theme="1"/>
        <rFont val="맑은 고딕"/>
        <family val="3"/>
        <charset val="129"/>
        <scheme val="minor"/>
      </rPr>
      <t xml:space="preserve"> Score는 </t>
    </r>
    <r>
      <rPr>
        <b/>
        <u/>
        <sz val="11"/>
        <color theme="1"/>
        <rFont val="맑은 고딕"/>
        <family val="3"/>
        <charset val="129"/>
        <scheme val="minor"/>
      </rPr>
      <t>홈:어웨이로 기록 흰색칸만 기록할 것</t>
    </r>
    <r>
      <rPr>
        <b/>
        <sz val="11"/>
        <color theme="1"/>
        <rFont val="맑은 고딕"/>
        <family val="3"/>
        <charset val="129"/>
        <scheme val="minor"/>
      </rPr>
      <t xml:space="preserve">
코드 꼬이면 작성 멈추고 이야기 하셈</t>
    </r>
    <phoneticPr fontId="2" type="noConversion"/>
  </si>
  <si>
    <t>OWN</t>
  </si>
  <si>
    <t>OPP</t>
  </si>
  <si>
    <t>Region</t>
    <phoneticPr fontId="2" type="noConversion"/>
  </si>
  <si>
    <t>Seoul</t>
    <phoneticPr fontId="2" type="noConversion"/>
  </si>
  <si>
    <t>GyeonggiGangwon</t>
    <phoneticPr fontId="2" type="noConversion"/>
  </si>
  <si>
    <t>DaeguGyeongbuk</t>
    <phoneticPr fontId="2" type="noConversion"/>
  </si>
  <si>
    <t>BusanGyeongnam</t>
    <phoneticPr fontId="2" type="noConversion"/>
  </si>
  <si>
    <t>ClipKey</t>
    <phoneticPr fontId="2" type="noConversion"/>
  </si>
  <si>
    <t>ToGoYard</t>
    <phoneticPr fontId="2" type="noConversion"/>
  </si>
  <si>
    <t>Team</t>
    <phoneticPr fontId="2" type="noConversion"/>
  </si>
  <si>
    <t>KNFL</t>
    <phoneticPr fontId="2" type="noConversion"/>
  </si>
  <si>
    <t>RETURN</t>
    <phoneticPr fontId="2" type="noConversion"/>
  </si>
  <si>
    <t>PENALTY.AWAY</t>
    <phoneticPr fontId="2" type="noConversion"/>
  </si>
  <si>
    <t>PENALTY.HOME</t>
    <phoneticPr fontId="2" type="noConversion"/>
  </si>
  <si>
    <t>ClipURL</t>
    <phoneticPr fontId="2" type="noConversion"/>
  </si>
  <si>
    <t>League</t>
  </si>
  <si>
    <t>Away</t>
  </si>
  <si>
    <t>KICKOFF</t>
  </si>
  <si>
    <t>K</t>
  </si>
  <si>
    <t>Home</t>
  </si>
  <si>
    <t>RETURN</t>
  </si>
  <si>
    <t>DB</t>
  </si>
  <si>
    <t>RUN</t>
  </si>
  <si>
    <t>RB</t>
  </si>
  <si>
    <t>PASS</t>
  </si>
  <si>
    <t>WR</t>
  </si>
  <si>
    <t>QB</t>
  </si>
  <si>
    <t>LB</t>
  </si>
  <si>
    <t>NONE</t>
  </si>
  <si>
    <t>PENALTY.HOME</t>
  </si>
  <si>
    <t>TE</t>
  </si>
  <si>
    <t>TOUCHDOWN</t>
  </si>
  <si>
    <t>PAT</t>
  </si>
  <si>
    <t>PATGOOD</t>
  </si>
  <si>
    <t>FUMBLE</t>
  </si>
  <si>
    <t>FUMBLERECDEF</t>
  </si>
  <si>
    <t>TURNOVER</t>
  </si>
  <si>
    <t>DL</t>
  </si>
  <si>
    <t>TFL</t>
  </si>
  <si>
    <t>FG</t>
  </si>
  <si>
    <t>FIELDGOALGOOD</t>
  </si>
  <si>
    <t>PENALTY.AWAY</t>
  </si>
  <si>
    <t>NOPASS</t>
  </si>
  <si>
    <t>PUNT</t>
  </si>
  <si>
    <t>P</t>
  </si>
  <si>
    <t>INTERCEPT</t>
  </si>
  <si>
    <t>OL</t>
  </si>
  <si>
    <t>SACK</t>
  </si>
  <si>
    <t>BTGP20250615</t>
    <phoneticPr fontId="2" type="noConversion"/>
  </si>
  <si>
    <t>2025-06-15(일) 14:30</t>
    <phoneticPr fontId="2" type="noConversion"/>
  </si>
  <si>
    <t>KNFL</t>
  </si>
  <si>
    <t>군위종합운동장</t>
    <phoneticPr fontId="2" type="noConversion"/>
  </si>
  <si>
    <t>23:13</t>
    <phoneticPr fontId="2" type="noConversion"/>
  </si>
  <si>
    <t>samsungBT</t>
  </si>
  <si>
    <t>GunwiPheonix</t>
  </si>
  <si>
    <t>FUMBLERECOFF</t>
  </si>
  <si>
    <t>PATNOGOOD</t>
  </si>
  <si>
    <t>TPT</t>
  </si>
  <si>
    <t>TWOPTCONV.NOGOOD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</si>
</sst>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6" borderId="4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5" borderId="6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7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>
      <alignment vertical="center"/>
    </xf>
    <xf numFmtId="0" fontId="1" fillId="7" borderId="1" xfId="0" applyFont="1" applyFill="1" applyBorder="1">
      <alignment vertical="center"/>
    </xf>
    <xf numFmtId="0" fontId="1" fillId="7" borderId="31" xfId="0" applyFont="1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1" fillId="3" borderId="17" xfId="0" applyFont="1" applyFill="1" applyBorder="1">
      <alignment vertical="center"/>
    </xf>
    <xf numFmtId="0" fontId="1" fillId="3" borderId="0" xfId="0" applyFont="1" applyFill="1">
      <alignment vertical="center"/>
    </xf>
    <xf numFmtId="0" fontId="1" fillId="3" borderId="18" xfId="0" applyFont="1" applyFill="1" applyBorder="1">
      <alignment vertical="center"/>
    </xf>
    <xf numFmtId="49" fontId="0" fillId="4" borderId="8" xfId="0" applyNumberForma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 applyAlignment="1">
      <alignment horizontal="center" vertical="center" wrapText="1"/>
    </xf>
    <xf numFmtId="0" fontId="1" fillId="6" borderId="39" xfId="0" applyFont="1" applyFill="1" applyBorder="1" applyAlignment="1">
      <alignment horizontal="left" vertical="center"/>
    </xf>
    <xf numFmtId="0" fontId="4" fillId="4" borderId="39" xfId="0" applyFont="1" applyFill="1" applyBorder="1">
      <alignment vertical="center"/>
    </xf>
    <xf numFmtId="0" fontId="1" fillId="6" borderId="39" xfId="0" applyFont="1" applyFill="1" applyBorder="1" applyAlignment="1">
      <alignment horizontal="left" vertical="center" wrapText="1"/>
    </xf>
    <xf numFmtId="0" fontId="6" fillId="6" borderId="39" xfId="0" applyFont="1" applyFill="1" applyBorder="1">
      <alignment vertical="center"/>
    </xf>
    <xf numFmtId="0" fontId="1" fillId="0" borderId="39" xfId="0" applyFont="1" applyBorder="1" applyAlignment="1">
      <alignment horizontal="left" vertical="center" wrapText="1"/>
    </xf>
    <xf numFmtId="0" fontId="0" fillId="0" borderId="39" xfId="0" applyBorder="1">
      <alignment vertical="center"/>
    </xf>
    <xf numFmtId="0" fontId="6" fillId="0" borderId="39" xfId="0" applyFont="1" applyBorder="1" applyAlignment="1">
      <alignment vertical="center" wrapText="1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</xdr:colOff>
      <xdr:row>3</xdr:row>
      <xdr:rowOff>7142</xdr:rowOff>
    </xdr:from>
    <xdr:to>
      <xdr:col>3</xdr:col>
      <xdr:colOff>0</xdr:colOff>
      <xdr:row>4</xdr:row>
      <xdr:rowOff>11394</xdr:rowOff>
    </xdr:to>
    <xdr:sp macro="[0]!InsertDateTimeToCell" textlink="">
      <xdr:nvSpPr>
        <xdr:cNvPr id="2" name="직사각형 1">
          <a:extLst>
            <a:ext uri="{FF2B5EF4-FFF2-40B4-BE49-F238E27FC236}">
              <a16:creationId xmlns:a16="http://schemas.microsoft.com/office/drawing/2014/main" id="{7D503415-F460-FE8A-812E-597E5D32AEBF}"/>
            </a:ext>
          </a:extLst>
        </xdr:cNvPr>
        <xdr:cNvSpPr/>
      </xdr:nvSpPr>
      <xdr:spPr>
        <a:xfrm>
          <a:off x="1772530" y="719446"/>
          <a:ext cx="1465970" cy="23616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날짜 입력 </a:t>
          </a:r>
          <a:r>
            <a:rPr lang="en-US" altLang="ko-KR" sz="1100" b="1">
              <a:solidFill>
                <a:schemeClr val="tx1"/>
              </a:solidFill>
            </a:rPr>
            <a:t>(</a:t>
          </a:r>
          <a:r>
            <a:rPr lang="ko-KR" altLang="en-US" sz="1100" b="1">
              <a:solidFill>
                <a:schemeClr val="tx1"/>
              </a:solidFill>
            </a:rPr>
            <a:t>이거 클릭</a:t>
          </a:r>
          <a:r>
            <a:rPr lang="en-US" altLang="ko-KR" sz="1100" b="1">
              <a:solidFill>
                <a:schemeClr val="tx1"/>
              </a:solidFill>
            </a:rPr>
            <a:t>)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10</xdr:col>
      <xdr:colOff>0</xdr:colOff>
      <xdr:row>15</xdr:row>
      <xdr:rowOff>0</xdr:rowOff>
    </xdr:to>
    <xdr:sp macro="[0]!입력" textlink="">
      <xdr:nvSpPr>
        <xdr:cNvPr id="3" name="직사각형 2">
          <a:extLst>
            <a:ext uri="{FF2B5EF4-FFF2-40B4-BE49-F238E27FC236}">
              <a16:creationId xmlns:a16="http://schemas.microsoft.com/office/drawing/2014/main" id="{EF841202-198A-460F-BED2-0744A063334F}"/>
            </a:ext>
          </a:extLst>
        </xdr:cNvPr>
        <xdr:cNvSpPr/>
      </xdr:nvSpPr>
      <xdr:spPr>
        <a:xfrm>
          <a:off x="6708913" y="3072848"/>
          <a:ext cx="911087" cy="44726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입력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삭제" textlink="">
      <xdr:nvSpPr>
        <xdr:cNvPr id="4" name="직사각형 3">
          <a:extLst>
            <a:ext uri="{FF2B5EF4-FFF2-40B4-BE49-F238E27FC236}">
              <a16:creationId xmlns:a16="http://schemas.microsoft.com/office/drawing/2014/main" id="{CFD82E62-C132-4972-B83B-4A046E8D4BAC}"/>
            </a:ext>
          </a:extLst>
        </xdr:cNvPr>
        <xdr:cNvSpPr/>
      </xdr:nvSpPr>
      <xdr:spPr>
        <a:xfrm>
          <a:off x="8423413" y="3072848"/>
          <a:ext cx="695739" cy="447261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삭제</a:t>
          </a:r>
        </a:p>
      </xdr:txBody>
    </xdr:sp>
    <xdr:clientData/>
  </xdr:twoCellAnchor>
  <xdr:twoCellAnchor>
    <xdr:from>
      <xdr:col>13</xdr:col>
      <xdr:colOff>1</xdr:colOff>
      <xdr:row>13</xdr:row>
      <xdr:rowOff>1</xdr:rowOff>
    </xdr:from>
    <xdr:to>
      <xdr:col>15</xdr:col>
      <xdr:colOff>0</xdr:colOff>
      <xdr:row>15</xdr:row>
      <xdr:rowOff>0</xdr:rowOff>
    </xdr:to>
    <xdr:sp macro="[0]!ExportJSON_Clean_NullBool" textlink="">
      <xdr:nvSpPr>
        <xdr:cNvPr id="5" name="직사각형 4">
          <a:extLst>
            <a:ext uri="{FF2B5EF4-FFF2-40B4-BE49-F238E27FC236}">
              <a16:creationId xmlns:a16="http://schemas.microsoft.com/office/drawing/2014/main" id="{77EA1339-7050-446F-AA0C-D055AC395509}"/>
            </a:ext>
          </a:extLst>
        </xdr:cNvPr>
        <xdr:cNvSpPr/>
      </xdr:nvSpPr>
      <xdr:spPr>
        <a:xfrm>
          <a:off x="9356482" y="2908789"/>
          <a:ext cx="2688980" cy="432288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tx1"/>
              </a:solidFill>
            </a:rPr>
            <a:t>JSON</a:t>
          </a:r>
          <a:r>
            <a:rPr lang="en-US" altLang="ko-KR" sz="1100" b="1" baseline="0">
              <a:solidFill>
                <a:schemeClr val="tx1"/>
              </a:solidFill>
            </a:rPr>
            <a:t> </a:t>
          </a:r>
          <a:r>
            <a:rPr lang="ko-KR" altLang="en-US" sz="1100" b="1" baseline="0">
              <a:solidFill>
                <a:schemeClr val="tx1"/>
              </a:solidFill>
            </a:rPr>
            <a:t>파일 변환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45C0-C2FE-4200-8A7D-294C84A9B065}">
  <sheetPr codeName="Sheet1"/>
  <dimension ref="A1:AG28"/>
  <sheetViews>
    <sheetView zoomScaleNormal="100" workbookViewId="0">
      <selection activeCell="M4" sqref="M4"/>
    </sheetView>
  </sheetViews>
  <sheetFormatPr defaultColWidth="9.125" defaultRowHeight="16.5" x14ac:dyDescent="0.3"/>
  <cols>
    <col min="1" max="1" width="9.125" style="1"/>
    <col min="2" max="2" width="14" style="1" bestFit="1" customWidth="1"/>
    <col min="3" max="3" width="19.375" style="1" bestFit="1" customWidth="1"/>
    <col min="4" max="4" width="2.875" style="1" customWidth="1"/>
    <col min="5" max="5" width="18.25" style="2" bestFit="1" customWidth="1"/>
    <col min="6" max="6" width="10.625" style="1" bestFit="1" customWidth="1"/>
    <col min="7" max="7" width="2.875" style="1" customWidth="1"/>
    <col min="8" max="8" width="11" style="2" bestFit="1" customWidth="1"/>
    <col min="9" max="9" width="9.875" style="1" bestFit="1" customWidth="1"/>
    <col min="10" max="10" width="7.5" style="1" customWidth="1"/>
    <col min="11" max="11" width="10.5" style="1" bestFit="1" customWidth="1"/>
    <col min="12" max="12" width="9.125" style="1"/>
    <col min="13" max="13" width="2.875" style="1" customWidth="1"/>
    <col min="14" max="14" width="15.625" style="1" bestFit="1" customWidth="1"/>
    <col min="15" max="15" width="19.625" style="1" customWidth="1"/>
    <col min="16" max="17" width="9.125" style="1"/>
    <col min="18" max="19" width="13.125" style="1" bestFit="1" customWidth="1"/>
    <col min="20" max="20" width="13.125" style="1" customWidth="1"/>
    <col min="21" max="22" width="9.125" style="1" customWidth="1"/>
    <col min="23" max="24" width="9.125" style="1"/>
    <col min="25" max="25" width="23.125" style="1" bestFit="1" customWidth="1"/>
    <col min="26" max="26" width="19.375" style="1" bestFit="1" customWidth="1"/>
    <col min="27" max="16384" width="9.125" style="1"/>
  </cols>
  <sheetData>
    <row r="1" spans="1:33" ht="17.25" thickBot="1" x14ac:dyDescent="0.35"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21"/>
      <c r="AE1" s="21"/>
    </row>
    <row r="2" spans="1:33" ht="18" thickTop="1" thickBot="1" x14ac:dyDescent="0.35">
      <c r="B2" s="5" t="s">
        <v>6</v>
      </c>
      <c r="C2" s="15" t="s">
        <v>126</v>
      </c>
      <c r="D2" s="41"/>
      <c r="E2" s="6" t="s">
        <v>10</v>
      </c>
      <c r="F2" s="17" t="s">
        <v>93</v>
      </c>
      <c r="G2" s="43"/>
      <c r="H2" s="6" t="s">
        <v>80</v>
      </c>
      <c r="I2" s="54" t="s">
        <v>128</v>
      </c>
      <c r="J2" s="55"/>
      <c r="K2" s="24"/>
      <c r="L2" s="6" t="s">
        <v>8</v>
      </c>
      <c r="M2" s="54" t="s">
        <v>131</v>
      </c>
      <c r="N2" s="56"/>
      <c r="O2" s="55"/>
      <c r="P2" s="27"/>
      <c r="Q2" s="21"/>
      <c r="R2" s="37" t="s">
        <v>26</v>
      </c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spans="1:33" ht="18" thickTop="1" thickBot="1" x14ac:dyDescent="0.35">
      <c r="B3" s="5" t="s">
        <v>7</v>
      </c>
      <c r="C3" s="18" t="s">
        <v>127</v>
      </c>
      <c r="D3" s="42"/>
      <c r="E3" s="7" t="s">
        <v>12</v>
      </c>
      <c r="F3" s="26" t="s">
        <v>130</v>
      </c>
      <c r="G3" s="44"/>
      <c r="H3" s="6" t="s">
        <v>11</v>
      </c>
      <c r="I3" s="54" t="s">
        <v>129</v>
      </c>
      <c r="J3" s="55"/>
      <c r="K3" s="24"/>
      <c r="L3" s="7" t="s">
        <v>9</v>
      </c>
      <c r="M3" s="54" t="s">
        <v>132</v>
      </c>
      <c r="N3" s="56"/>
      <c r="O3" s="55"/>
      <c r="P3" s="27"/>
      <c r="Q3" s="21"/>
      <c r="R3" s="21" t="s">
        <v>10</v>
      </c>
      <c r="S3" s="21" t="s">
        <v>0</v>
      </c>
      <c r="T3" s="21" t="s">
        <v>11</v>
      </c>
      <c r="U3" s="21" t="s">
        <v>2</v>
      </c>
      <c r="V3" s="21" t="s">
        <v>31</v>
      </c>
      <c r="W3" s="37" t="s">
        <v>55</v>
      </c>
      <c r="X3" s="21" t="s">
        <v>30</v>
      </c>
      <c r="Y3" s="21" t="s">
        <v>16</v>
      </c>
      <c r="Z3" s="21" t="s">
        <v>80</v>
      </c>
      <c r="AA3" s="21" t="s">
        <v>87</v>
      </c>
      <c r="AB3" s="21"/>
      <c r="AC3" s="21"/>
      <c r="AD3" s="21"/>
      <c r="AE3" s="21"/>
      <c r="AF3" s="21"/>
      <c r="AG3" s="21"/>
    </row>
    <row r="4" spans="1:33" ht="17.25" thickTop="1" x14ac:dyDescent="0.3">
      <c r="B4" s="59"/>
      <c r="C4" s="60"/>
      <c r="D4" s="61"/>
      <c r="E4" s="61"/>
      <c r="F4" s="60"/>
      <c r="G4" s="61"/>
      <c r="H4" s="61"/>
      <c r="I4" s="60"/>
      <c r="J4" s="51"/>
      <c r="K4" s="23"/>
      <c r="L4" s="24"/>
      <c r="M4" s="24"/>
      <c r="N4" s="24"/>
      <c r="O4" s="25"/>
      <c r="P4" s="27"/>
      <c r="Q4" s="21"/>
      <c r="R4" s="38" t="s">
        <v>27</v>
      </c>
      <c r="S4" s="38" t="s">
        <v>8</v>
      </c>
      <c r="T4" s="38" t="s">
        <v>53</v>
      </c>
      <c r="U4" s="38">
        <v>1</v>
      </c>
      <c r="V4" s="38">
        <v>1</v>
      </c>
      <c r="W4" s="37" t="s">
        <v>56</v>
      </c>
      <c r="X4" s="37" t="s">
        <v>33</v>
      </c>
      <c r="Y4" s="37" t="s">
        <v>40</v>
      </c>
      <c r="Z4" s="37" t="s">
        <v>81</v>
      </c>
      <c r="AA4" s="37" t="str" cm="1">
        <f t="array" ref="AA4:AA10">IFERROR(
  _xlfn.LET(
    _xlpm.city, $I$2,
    _xlpm.seoul, {"YSeagles";"SNgreenterrors";"HYlions";"KMrazorbacks";"UScityhawks";"HFblackknights";"KKragingbulls";"HIcowboys";"KUtigers";"DongkukTuskers";"SScrusaders";"CAbluedragons";"KHcommanders";"SGalbatross"},
    _xlpm.ggw,   {"SKroyals";"KWcapra";"DKkodiakbears";"YIwhitetigers";"IHtealdragons";"HLphoenix";"HSkillerwhales";"KAmavericks"},
    _xlpm.dgb,   {"KPorangefighters";"KIblackbears";"KeimyungSuperlions";"KOravens";"DCscudangels";"DGflyingtigers";"DHrhinos";"DongkukWhiteelephants";"YNpegasus";"HDholyrams"},
    _xlpm.bgn,   {"GSdrangons";"BSeagles";"HHvikings";"SLdevils";"BKmadmobydicks";"DUturtlefighters";"DAleopards";"DSbluedolphins";"BFtornado";"UUunicorns"},
    _xlpm.knf,   {"GunwiPheonix";"BusanGryphons";"samsungBT";"seoulGE";"seoulDF";"seoulVI";"incheonRH"},
    _xlfn.SWITCH(
      _xlpm.city,
      "Seoul",           _xlpm.seoul,
      "GyeonggiGangwon", _xlpm.ggw,
      "DaeguGyeongbuk",  _xlpm.dgb,
      "BusanGyeongnam",  _xlpm.bgn,
      "KNFL",            _xlpm.knf,
      ""
    )
  ),
  ""
)</f>
        <v>GunwiPheonix</v>
      </c>
      <c r="AB4" s="21"/>
      <c r="AC4" s="21"/>
      <c r="AD4" s="21"/>
      <c r="AE4" s="21"/>
      <c r="AF4" s="21"/>
      <c r="AG4" s="21"/>
    </row>
    <row r="5" spans="1:33" ht="17.25" thickBot="1" x14ac:dyDescent="0.35">
      <c r="B5" s="62"/>
      <c r="C5" s="60"/>
      <c r="D5" s="63"/>
      <c r="E5" s="63"/>
      <c r="F5" s="60"/>
      <c r="G5" s="63"/>
      <c r="H5" s="63"/>
      <c r="I5" s="60"/>
      <c r="J5" s="44"/>
      <c r="K5" s="23"/>
      <c r="L5" s="24"/>
      <c r="M5" s="24"/>
      <c r="N5" s="24"/>
      <c r="O5" s="25"/>
      <c r="P5" s="28"/>
      <c r="Q5" s="21"/>
      <c r="R5" s="39" t="s">
        <v>28</v>
      </c>
      <c r="S5" s="39" t="s">
        <v>9</v>
      </c>
      <c r="T5" s="39" t="s">
        <v>54</v>
      </c>
      <c r="U5" s="38">
        <v>2</v>
      </c>
      <c r="V5" s="38">
        <v>2</v>
      </c>
      <c r="W5" s="37" t="s">
        <v>57</v>
      </c>
      <c r="X5" s="37" t="s">
        <v>32</v>
      </c>
      <c r="Y5" s="37" t="s">
        <v>41</v>
      </c>
      <c r="Z5" s="37" t="s">
        <v>82</v>
      </c>
      <c r="AA5" s="37" t="str">
        <v>BusanGryphons</v>
      </c>
      <c r="AB5" s="21"/>
      <c r="AC5" s="21"/>
      <c r="AD5" s="21"/>
      <c r="AE5" s="21"/>
      <c r="AF5" s="21"/>
      <c r="AG5" s="21"/>
    </row>
    <row r="6" spans="1:33" ht="18" thickTop="1" thickBot="1" x14ac:dyDescent="0.35">
      <c r="B6" s="4" t="s">
        <v>85</v>
      </c>
      <c r="C6" s="17"/>
      <c r="D6" s="72"/>
      <c r="E6" s="8" t="s">
        <v>30</v>
      </c>
      <c r="F6" s="17"/>
      <c r="G6" s="72"/>
      <c r="H6" s="9" t="s">
        <v>69</v>
      </c>
      <c r="I6" s="17"/>
      <c r="J6" s="72"/>
      <c r="K6" s="9" t="s">
        <v>73</v>
      </c>
      <c r="L6" s="17"/>
      <c r="M6" s="50"/>
      <c r="N6" s="9" t="s">
        <v>16</v>
      </c>
      <c r="O6" s="14"/>
      <c r="P6" s="27"/>
      <c r="Q6" s="21"/>
      <c r="R6" s="38" t="s">
        <v>29</v>
      </c>
      <c r="S6" s="40"/>
      <c r="T6" s="40"/>
      <c r="U6" s="38">
        <v>3</v>
      </c>
      <c r="V6" s="38">
        <v>3</v>
      </c>
      <c r="W6" s="37" t="s">
        <v>58</v>
      </c>
      <c r="X6" s="37" t="s">
        <v>34</v>
      </c>
      <c r="Y6" s="37" t="s">
        <v>42</v>
      </c>
      <c r="Z6" s="37" t="s">
        <v>83</v>
      </c>
      <c r="AA6" s="37" t="str">
        <v>samsungBT</v>
      </c>
      <c r="AB6" s="21"/>
      <c r="AC6" s="21"/>
      <c r="AD6" s="21"/>
      <c r="AE6" s="21"/>
      <c r="AF6" s="21"/>
      <c r="AG6" s="21"/>
    </row>
    <row r="7" spans="1:33" ht="18" thickTop="1" thickBot="1" x14ac:dyDescent="0.35">
      <c r="B7" s="4" t="s">
        <v>66</v>
      </c>
      <c r="C7" s="20"/>
      <c r="D7" s="46"/>
      <c r="E7" s="8" t="s">
        <v>67</v>
      </c>
      <c r="F7" s="15" t="s">
        <v>79</v>
      </c>
      <c r="G7" s="46"/>
      <c r="H7" s="9" t="s">
        <v>70</v>
      </c>
      <c r="I7" s="15"/>
      <c r="J7" s="46"/>
      <c r="K7" s="9" t="s">
        <v>74</v>
      </c>
      <c r="L7" s="15"/>
      <c r="M7" s="51"/>
      <c r="N7" s="9" t="s">
        <v>17</v>
      </c>
      <c r="O7" s="14"/>
      <c r="P7" s="27"/>
      <c r="Q7" s="21"/>
      <c r="R7" s="21"/>
      <c r="S7" s="40"/>
      <c r="T7" s="40"/>
      <c r="U7" s="38">
        <v>4</v>
      </c>
      <c r="V7" s="38">
        <v>4</v>
      </c>
      <c r="W7" s="37" t="s">
        <v>59</v>
      </c>
      <c r="X7" s="37" t="s">
        <v>35</v>
      </c>
      <c r="Y7" s="37" t="s">
        <v>43</v>
      </c>
      <c r="Z7" s="37" t="s">
        <v>84</v>
      </c>
      <c r="AA7" s="37" t="str">
        <v>seoulGE</v>
      </c>
      <c r="AB7" s="21"/>
      <c r="AC7" s="21"/>
      <c r="AD7" s="21"/>
      <c r="AE7" s="21"/>
      <c r="AF7" s="21"/>
      <c r="AG7" s="21"/>
    </row>
    <row r="8" spans="1:33" ht="18" thickTop="1" thickBot="1" x14ac:dyDescent="0.35">
      <c r="B8" s="4" t="s">
        <v>2</v>
      </c>
      <c r="C8" s="19"/>
      <c r="D8" s="46"/>
      <c r="E8" s="8" t="s">
        <v>13</v>
      </c>
      <c r="F8" s="18"/>
      <c r="G8" s="46"/>
      <c r="H8" s="9" t="s">
        <v>71</v>
      </c>
      <c r="I8" s="16"/>
      <c r="J8" s="46"/>
      <c r="K8" s="9" t="s">
        <v>75</v>
      </c>
      <c r="L8" s="16"/>
      <c r="M8" s="51"/>
      <c r="N8" s="9" t="s">
        <v>19</v>
      </c>
      <c r="O8" s="14"/>
      <c r="P8" s="27"/>
      <c r="Q8" s="21"/>
      <c r="R8" s="21"/>
      <c r="S8" s="40"/>
      <c r="T8" s="40"/>
      <c r="U8" s="40"/>
      <c r="V8" s="38" t="s">
        <v>35</v>
      </c>
      <c r="W8" s="37" t="s">
        <v>60</v>
      </c>
      <c r="X8" s="37" t="s">
        <v>36</v>
      </c>
      <c r="Y8" s="37" t="s">
        <v>44</v>
      </c>
      <c r="Z8" s="37" t="s">
        <v>88</v>
      </c>
      <c r="AA8" s="37" t="str">
        <v>seoulDF</v>
      </c>
      <c r="AB8" s="21"/>
      <c r="AC8" s="21"/>
      <c r="AD8" s="21"/>
      <c r="AE8" s="21"/>
      <c r="AF8" s="21"/>
      <c r="AG8" s="21"/>
    </row>
    <row r="9" spans="1:33" ht="18" thickTop="1" thickBot="1" x14ac:dyDescent="0.35">
      <c r="B9" s="4" t="s">
        <v>1</v>
      </c>
      <c r="C9" s="15"/>
      <c r="D9" s="46"/>
      <c r="E9" s="9" t="s">
        <v>68</v>
      </c>
      <c r="F9" s="15" t="s">
        <v>78</v>
      </c>
      <c r="G9" s="46"/>
      <c r="H9" s="9" t="s">
        <v>72</v>
      </c>
      <c r="I9" s="15"/>
      <c r="J9" s="46"/>
      <c r="K9" s="9" t="s">
        <v>76</v>
      </c>
      <c r="L9" s="15"/>
      <c r="M9" s="51"/>
      <c r="N9" s="9" t="s">
        <v>20</v>
      </c>
      <c r="O9" s="14"/>
      <c r="P9" s="27"/>
      <c r="Q9" s="21"/>
      <c r="R9" s="21"/>
      <c r="S9" s="40"/>
      <c r="T9" s="40"/>
      <c r="U9" s="40"/>
      <c r="V9" s="38" t="s">
        <v>37</v>
      </c>
      <c r="W9" s="37" t="s">
        <v>61</v>
      </c>
      <c r="X9" s="37" t="s">
        <v>3</v>
      </c>
      <c r="Y9" s="37" t="s">
        <v>45</v>
      </c>
      <c r="Z9" s="21"/>
      <c r="AA9" s="37" t="str">
        <v>seoulVI</v>
      </c>
      <c r="AB9" s="21"/>
      <c r="AC9" s="21"/>
      <c r="AD9" s="21"/>
      <c r="AE9" s="21"/>
      <c r="AF9" s="21"/>
      <c r="AG9" s="21"/>
    </row>
    <row r="10" spans="1:33" ht="18" thickTop="1" thickBot="1" x14ac:dyDescent="0.35">
      <c r="B10" s="4" t="s">
        <v>86</v>
      </c>
      <c r="C10" s="18"/>
      <c r="D10" s="46"/>
      <c r="E10" s="9" t="s">
        <v>14</v>
      </c>
      <c r="F10" s="18"/>
      <c r="G10" s="46"/>
      <c r="H10" s="45"/>
      <c r="I10" s="46"/>
      <c r="J10" s="73"/>
      <c r="K10" s="45"/>
      <c r="L10" s="46"/>
      <c r="M10" s="52"/>
      <c r="N10" s="45"/>
      <c r="O10" s="64"/>
      <c r="P10" s="27"/>
      <c r="Q10" s="21"/>
      <c r="R10" s="21"/>
      <c r="S10" s="40"/>
      <c r="T10" s="40"/>
      <c r="U10" s="40"/>
      <c r="V10" s="38" t="s">
        <v>3</v>
      </c>
      <c r="W10" s="37" t="s">
        <v>62</v>
      </c>
      <c r="X10" s="37" t="s">
        <v>37</v>
      </c>
      <c r="Y10" s="37" t="s">
        <v>46</v>
      </c>
      <c r="Z10" s="21"/>
      <c r="AA10" s="37" t="str">
        <v>incheonRH</v>
      </c>
      <c r="AB10" s="21"/>
      <c r="AC10" s="21"/>
      <c r="AD10" s="21"/>
      <c r="AE10" s="21"/>
      <c r="AF10" s="21"/>
      <c r="AG10" s="21"/>
    </row>
    <row r="11" spans="1:33" ht="17.25" thickTop="1" x14ac:dyDescent="0.3">
      <c r="B11" s="67"/>
      <c r="C11" s="42"/>
      <c r="D11" s="73"/>
      <c r="E11" s="66"/>
      <c r="F11" s="44"/>
      <c r="G11" s="73"/>
      <c r="H11" s="47"/>
      <c r="I11" s="46"/>
      <c r="J11" s="73"/>
      <c r="K11" s="47"/>
      <c r="L11" s="46"/>
      <c r="M11" s="52"/>
      <c r="N11" s="47"/>
      <c r="O11" s="64"/>
      <c r="P11" s="27"/>
      <c r="Q11" s="21"/>
      <c r="R11" s="21"/>
      <c r="S11" s="21"/>
      <c r="T11" s="21"/>
      <c r="U11" s="21"/>
      <c r="V11" s="21"/>
      <c r="W11" s="37" t="s">
        <v>63</v>
      </c>
      <c r="X11" s="37" t="s">
        <v>5</v>
      </c>
      <c r="Y11" s="37" t="s">
        <v>91</v>
      </c>
      <c r="Z11" s="21"/>
      <c r="AA11" s="37"/>
      <c r="AB11" s="21"/>
      <c r="AC11" s="21"/>
      <c r="AD11" s="21"/>
      <c r="AE11" s="21"/>
      <c r="AF11" s="21"/>
      <c r="AG11" s="21"/>
    </row>
    <row r="12" spans="1:33" ht="17.25" thickBot="1" x14ac:dyDescent="0.35">
      <c r="B12" s="10" t="s">
        <v>15</v>
      </c>
      <c r="C12" s="11">
        <f>IF(AND(UPPER(TRIM(F7))="OWN", UPPER(TRIM(F9))="OWN"), VALUE(F10) - VALUE(F8),
 IF(AND(UPPER(TRIM(F7))="OPP", UPPER(TRIM(F9))="OPP"), VALUE(F8) - VALUE(F10),
 IF(AND(UPPER(TRIM(F7))="OWN", UPPER(TRIM(F9))="OPP"), 100 - VALUE(F8) - VALUE(F10),
 IF(AND(UPPER(TRIM(F7))="OPP", UPPER(TRIM(F9))="OWN"), -(100 - VALUE(F8) - VALUE(F10)), "0"))))</f>
        <v>-100</v>
      </c>
      <c r="D12" s="74"/>
      <c r="E12" s="11" t="s">
        <v>18</v>
      </c>
      <c r="F12" s="11" t="b">
        <f>ISNUMBER(MATCH(UPPER(TRIM(F6)),{"KICKOFF","FG","PUNT","PAT"},0))</f>
        <v>0</v>
      </c>
      <c r="G12" s="74"/>
      <c r="H12" s="48"/>
      <c r="I12" s="49"/>
      <c r="J12" s="74"/>
      <c r="K12" s="48"/>
      <c r="L12" s="49"/>
      <c r="M12" s="53"/>
      <c r="N12" s="48"/>
      <c r="O12" s="65"/>
      <c r="P12" s="27"/>
      <c r="Q12" s="21"/>
      <c r="R12" s="21"/>
      <c r="S12" s="21"/>
      <c r="T12" s="21"/>
      <c r="U12" s="21"/>
      <c r="V12" s="21"/>
      <c r="W12" s="37" t="s">
        <v>64</v>
      </c>
      <c r="X12" s="37" t="s">
        <v>38</v>
      </c>
      <c r="Y12" s="37" t="s">
        <v>90</v>
      </c>
      <c r="Z12" s="21"/>
      <c r="AA12" s="37"/>
      <c r="AB12" s="21"/>
      <c r="AC12" s="21"/>
      <c r="AD12" s="21"/>
      <c r="AE12" s="21"/>
      <c r="AF12" s="21"/>
      <c r="AG12" s="21"/>
    </row>
    <row r="13" spans="1:33" ht="17.25" thickBot="1" x14ac:dyDescent="0.35">
      <c r="D13" s="3"/>
      <c r="P13" s="27"/>
      <c r="Q13" s="21"/>
      <c r="R13" s="21"/>
      <c r="S13" s="21"/>
      <c r="T13" s="21"/>
      <c r="U13" s="21"/>
      <c r="V13" s="21"/>
      <c r="W13" s="37" t="s">
        <v>65</v>
      </c>
      <c r="X13" s="37" t="s">
        <v>89</v>
      </c>
      <c r="Y13" s="37" t="s">
        <v>38</v>
      </c>
      <c r="Z13" s="21"/>
      <c r="AA13" s="37"/>
      <c r="AB13" s="21"/>
      <c r="AC13" s="21"/>
      <c r="AD13" s="21"/>
      <c r="AE13" s="21"/>
      <c r="AF13" s="21"/>
      <c r="AG13" s="21"/>
    </row>
    <row r="14" spans="1:33" x14ac:dyDescent="0.3">
      <c r="A14" s="1" t="s">
        <v>21</v>
      </c>
      <c r="B14" s="57" t="s">
        <v>77</v>
      </c>
      <c r="C14" s="58"/>
      <c r="D14" s="58"/>
      <c r="E14" s="58"/>
      <c r="F14" s="58"/>
      <c r="G14" s="58"/>
      <c r="I14" s="68" t="s">
        <v>22</v>
      </c>
      <c r="J14" s="69"/>
      <c r="L14" s="79" t="s">
        <v>23</v>
      </c>
      <c r="N14" s="75" t="s">
        <v>24</v>
      </c>
      <c r="O14" s="76"/>
      <c r="P14" s="27"/>
      <c r="Q14" s="21"/>
      <c r="R14" s="21"/>
      <c r="S14" s="21"/>
      <c r="T14" s="21"/>
      <c r="U14" s="21"/>
      <c r="V14" s="21"/>
      <c r="W14" s="21"/>
      <c r="X14" s="37" t="s">
        <v>39</v>
      </c>
      <c r="Y14" s="37" t="s">
        <v>4</v>
      </c>
      <c r="Z14" s="21"/>
      <c r="AA14" s="37"/>
      <c r="AB14" s="21"/>
      <c r="AC14" s="21"/>
      <c r="AD14" s="21"/>
      <c r="AE14" s="21"/>
      <c r="AF14" s="21"/>
      <c r="AG14" s="21"/>
    </row>
    <row r="15" spans="1:33" ht="17.25" thickBot="1" x14ac:dyDescent="0.35">
      <c r="B15" s="58"/>
      <c r="C15" s="58"/>
      <c r="D15" s="58"/>
      <c r="E15" s="58"/>
      <c r="F15" s="58"/>
      <c r="G15" s="58"/>
      <c r="I15" s="70"/>
      <c r="J15" s="71"/>
      <c r="L15" s="80"/>
      <c r="N15" s="77"/>
      <c r="O15" s="78"/>
      <c r="P15" s="27"/>
      <c r="Q15" s="21"/>
      <c r="R15" s="21"/>
      <c r="S15" s="21"/>
      <c r="T15" s="21"/>
      <c r="U15" s="21"/>
      <c r="V15" s="21"/>
      <c r="W15" s="21"/>
      <c r="X15" s="21"/>
      <c r="Y15" s="37" t="s">
        <v>35</v>
      </c>
      <c r="Z15" s="21"/>
      <c r="AA15" s="37"/>
      <c r="AB15" s="21"/>
      <c r="AC15" s="21"/>
      <c r="AD15" s="21"/>
      <c r="AE15" s="21"/>
      <c r="AF15" s="21"/>
      <c r="AG15" s="21"/>
    </row>
    <row r="16" spans="1:33" ht="17.25" thickBot="1" x14ac:dyDescent="0.35">
      <c r="B16" s="58"/>
      <c r="C16" s="58"/>
      <c r="D16" s="58"/>
      <c r="E16" s="58"/>
      <c r="F16" s="58"/>
      <c r="G16" s="58"/>
      <c r="P16" s="27"/>
      <c r="Q16" s="21"/>
      <c r="R16" s="21"/>
      <c r="S16" s="21"/>
      <c r="T16" s="21"/>
      <c r="U16" s="21"/>
      <c r="V16" s="21"/>
      <c r="W16" s="21"/>
      <c r="X16" s="21"/>
      <c r="Y16" s="37" t="s">
        <v>36</v>
      </c>
      <c r="Z16" s="21"/>
      <c r="AA16" s="37"/>
      <c r="AB16" s="21"/>
      <c r="AC16" s="21"/>
      <c r="AD16" s="21"/>
      <c r="AE16" s="21"/>
      <c r="AF16" s="21"/>
      <c r="AG16" s="21"/>
    </row>
    <row r="17" spans="2:33" ht="17.25" thickBot="1" x14ac:dyDescent="0.35">
      <c r="B17" s="58"/>
      <c r="C17" s="58"/>
      <c r="D17" s="58"/>
      <c r="E17" s="58"/>
      <c r="F17" s="58"/>
      <c r="G17" s="58"/>
      <c r="I17" s="12" t="s">
        <v>25</v>
      </c>
      <c r="J17" s="13">
        <f>COUNTA(DataSheet!B:B)-1</f>
        <v>157</v>
      </c>
      <c r="P17" s="27"/>
      <c r="Q17" s="21"/>
      <c r="R17" s="21"/>
      <c r="S17" s="21"/>
      <c r="T17" s="21"/>
      <c r="U17" s="21"/>
      <c r="V17" s="21"/>
      <c r="W17" s="21"/>
      <c r="X17" s="21"/>
      <c r="Y17" s="37" t="s">
        <v>47</v>
      </c>
      <c r="Z17" s="21"/>
      <c r="AA17" s="37"/>
      <c r="AB17" s="21"/>
      <c r="AC17" s="21"/>
      <c r="AD17" s="21"/>
      <c r="AE17" s="21"/>
      <c r="AF17" s="21"/>
      <c r="AG17" s="21"/>
    </row>
    <row r="18" spans="2:33" x14ac:dyDescent="0.3">
      <c r="D18" s="3"/>
      <c r="P18" s="27"/>
      <c r="Q18" s="21"/>
      <c r="R18" s="21"/>
      <c r="S18" s="21"/>
      <c r="T18" s="21"/>
      <c r="U18" s="21"/>
      <c r="V18" s="21"/>
      <c r="W18" s="21"/>
      <c r="X18" s="21"/>
      <c r="Y18" s="37" t="s">
        <v>48</v>
      </c>
      <c r="Z18" s="21"/>
      <c r="AA18" s="37"/>
      <c r="AB18" s="21"/>
      <c r="AC18" s="21"/>
      <c r="AD18" s="21"/>
      <c r="AE18" s="21"/>
      <c r="AF18" s="21"/>
      <c r="AG18" s="21"/>
    </row>
    <row r="19" spans="2:33" x14ac:dyDescent="0.3">
      <c r="D19" s="3"/>
      <c r="P19" s="27"/>
      <c r="Q19" s="21"/>
      <c r="R19" s="21"/>
      <c r="S19" s="21"/>
      <c r="T19" s="21"/>
      <c r="U19" s="21"/>
      <c r="V19" s="21"/>
      <c r="W19" s="21"/>
      <c r="X19" s="21"/>
      <c r="Y19" s="37" t="s">
        <v>49</v>
      </c>
      <c r="Z19" s="21"/>
      <c r="AA19" s="37"/>
      <c r="AB19" s="21"/>
      <c r="AC19" s="21"/>
      <c r="AD19" s="21"/>
      <c r="AE19" s="21"/>
      <c r="AF19" s="21"/>
      <c r="AG19" s="21"/>
    </row>
    <row r="20" spans="2:33" x14ac:dyDescent="0.3">
      <c r="D20" s="3"/>
      <c r="P20" s="27"/>
      <c r="Q20" s="21"/>
      <c r="R20" s="21"/>
      <c r="S20" s="21"/>
      <c r="T20" s="21"/>
      <c r="U20" s="21"/>
      <c r="V20" s="21"/>
      <c r="W20" s="21"/>
      <c r="X20" s="21"/>
      <c r="Y20" s="37" t="s">
        <v>50</v>
      </c>
      <c r="Z20" s="21"/>
      <c r="AA20" s="21"/>
      <c r="AB20" s="21"/>
      <c r="AC20" s="21"/>
      <c r="AD20" s="21"/>
      <c r="AE20" s="21"/>
      <c r="AF20" s="21"/>
      <c r="AG20" s="21"/>
    </row>
    <row r="21" spans="2:33" x14ac:dyDescent="0.3">
      <c r="D21" s="3"/>
      <c r="P21" s="27"/>
      <c r="Q21" s="21"/>
      <c r="R21" s="21"/>
      <c r="S21" s="21"/>
      <c r="T21" s="21"/>
      <c r="U21" s="21"/>
      <c r="V21" s="21"/>
      <c r="W21" s="21"/>
      <c r="X21" s="21"/>
      <c r="Y21" s="37" t="s">
        <v>51</v>
      </c>
      <c r="Z21" s="21"/>
      <c r="AA21" s="21"/>
      <c r="AB21" s="21"/>
      <c r="AC21" s="21"/>
      <c r="AD21" s="21"/>
      <c r="AE21" s="21"/>
      <c r="AF21" s="21"/>
      <c r="AG21" s="21"/>
    </row>
    <row r="22" spans="2:33" x14ac:dyDescent="0.3">
      <c r="D22" s="3"/>
      <c r="Q22" s="21"/>
      <c r="R22" s="21"/>
      <c r="S22" s="21"/>
      <c r="T22" s="21"/>
      <c r="U22" s="21"/>
      <c r="V22" s="21"/>
      <c r="W22" s="21"/>
      <c r="X22" s="21"/>
      <c r="Y22" s="37" t="s">
        <v>52</v>
      </c>
      <c r="Z22" s="21"/>
      <c r="AA22" s="21"/>
      <c r="AB22" s="21"/>
      <c r="AC22" s="21"/>
      <c r="AD22" s="21"/>
      <c r="AE22" s="21"/>
      <c r="AF22" s="21"/>
      <c r="AG22" s="21"/>
    </row>
    <row r="23" spans="2:33" x14ac:dyDescent="0.3">
      <c r="D23" s="3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27"/>
      <c r="AE23" s="27"/>
    </row>
    <row r="24" spans="2:33" x14ac:dyDescent="0.3"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27"/>
      <c r="AE24" s="27"/>
    </row>
    <row r="25" spans="2:33" x14ac:dyDescent="0.3"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27"/>
      <c r="AE25" s="27"/>
    </row>
    <row r="26" spans="2:33" x14ac:dyDescent="0.3"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27"/>
      <c r="AE26" s="27"/>
    </row>
    <row r="27" spans="2:33" x14ac:dyDescent="0.3">
      <c r="Q27" s="27"/>
      <c r="R27" s="27"/>
      <c r="S27" s="27"/>
      <c r="T27" s="27"/>
      <c r="U27" s="27"/>
      <c r="V27" s="27"/>
      <c r="W27" s="27"/>
      <c r="X27" s="27"/>
      <c r="Y27" s="27"/>
      <c r="Z27" s="36"/>
      <c r="AA27" s="36"/>
      <c r="AB27" s="36"/>
      <c r="AC27" s="36"/>
      <c r="AD27" s="27"/>
      <c r="AE27" s="27"/>
    </row>
    <row r="28" spans="2:33" x14ac:dyDescent="0.3">
      <c r="Q28" s="27"/>
      <c r="R28" s="27"/>
      <c r="S28" s="27"/>
      <c r="T28" s="27"/>
      <c r="U28" s="27"/>
      <c r="V28" s="27"/>
      <c r="W28" s="27"/>
      <c r="X28" s="27"/>
      <c r="Y28" s="27"/>
      <c r="Z28" s="36"/>
      <c r="AA28" s="36"/>
      <c r="AB28" s="36"/>
      <c r="AC28" s="36"/>
      <c r="AD28" s="27"/>
      <c r="AE28" s="27"/>
    </row>
  </sheetData>
  <mergeCells count="20">
    <mergeCell ref="B14:G17"/>
    <mergeCell ref="B4:J5"/>
    <mergeCell ref="N10:O12"/>
    <mergeCell ref="E11:F11"/>
    <mergeCell ref="B11:C11"/>
    <mergeCell ref="I14:J15"/>
    <mergeCell ref="J6:J12"/>
    <mergeCell ref="G6:G12"/>
    <mergeCell ref="D6:D12"/>
    <mergeCell ref="N14:O15"/>
    <mergeCell ref="L14:L15"/>
    <mergeCell ref="D2:D3"/>
    <mergeCell ref="G2:G3"/>
    <mergeCell ref="H10:I12"/>
    <mergeCell ref="M6:M12"/>
    <mergeCell ref="K10:L12"/>
    <mergeCell ref="I2:J2"/>
    <mergeCell ref="I3:J3"/>
    <mergeCell ref="M3:O3"/>
    <mergeCell ref="M2:O2"/>
  </mergeCells>
  <phoneticPr fontId="2" type="noConversion"/>
  <dataValidations count="12">
    <dataValidation type="list" allowBlank="1" showInputMessage="1" showErrorMessage="1" sqref="F2" xr:uid="{5C1807C6-6770-49C5-BB27-7C8A6F27B5B2}">
      <formula1>$R$4:$R$6</formula1>
    </dataValidation>
    <dataValidation type="list" allowBlank="1" showInputMessage="1" showErrorMessage="1" sqref="C7" xr:uid="{B442FA98-8002-4695-95DD-639CF11B6875}">
      <formula1>$S$4:$S$5</formula1>
    </dataValidation>
    <dataValidation type="list" allowBlank="1" showInputMessage="1" showErrorMessage="1" sqref="C8" xr:uid="{67106A2E-DC3E-45A7-AE13-43C53194D9AB}">
      <formula1>$U$4:$U$7</formula1>
    </dataValidation>
    <dataValidation type="list" allowBlank="1" showInputMessage="1" showErrorMessage="1" sqref="C9" xr:uid="{4DBE5BB2-AE42-4642-B528-BD3187E31F06}">
      <formula1>$V$4:$V$10</formula1>
    </dataValidation>
    <dataValidation type="list" allowBlank="1" showInputMessage="1" showErrorMessage="1" sqref="F9 F7" xr:uid="{07B020BF-6A9F-4120-B646-25E3A5AC1E26}">
      <formula1>$T$4:$T$5</formula1>
    </dataValidation>
    <dataValidation type="whole" allowBlank="1" showInputMessage="1" showErrorMessage="1" sqref="F10 F8" xr:uid="{3968C9D6-C3F3-41EB-A7A6-9CF78DB823C7}">
      <formula1>0</formula1>
      <formula2>50</formula2>
    </dataValidation>
    <dataValidation type="list" allowBlank="1" showInputMessage="1" showErrorMessage="1" sqref="F6" xr:uid="{59206609-F2A9-49A1-85A3-F933885ECF2E}">
      <formula1>$X$4:$X$14</formula1>
    </dataValidation>
    <dataValidation type="whole" allowBlank="1" showInputMessage="1" showErrorMessage="1" sqref="I6 I8 L6 L8 C10" xr:uid="{2C6B1EC7-2108-46CD-9718-1DB2F584BB16}">
      <formula1>0</formula1>
      <formula2>99</formula2>
    </dataValidation>
    <dataValidation type="list" allowBlank="1" showInputMessage="1" showErrorMessage="1" sqref="I7 I9 L7 L9" xr:uid="{911C6CEA-6082-4827-B071-020DFD584173}">
      <formula1>$W$4:$W$13</formula1>
    </dataValidation>
    <dataValidation type="list" allowBlank="1" showInputMessage="1" showErrorMessage="1" sqref="I2:J2" xr:uid="{495F6188-895B-4B1B-85DB-65640FB917C9}">
      <formula1>$Z$4:$Z$8</formula1>
    </dataValidation>
    <dataValidation type="list" allowBlank="1" showInputMessage="1" showErrorMessage="1" sqref="M2:O3" xr:uid="{89B326B0-6553-494C-8294-A2D78C73A8C4}">
      <formula1>_xlfn.ANCHORARRAY($AA$4)</formula1>
    </dataValidation>
    <dataValidation type="list" allowBlank="1" showInputMessage="1" showErrorMessage="1" sqref="O6:O9" xr:uid="{C90AC7BD-6457-481F-B7C7-D2C3E149EC24}">
      <formula1>$Y$4:$Y$22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4C49-C718-4083-878D-EE5843C83AD6}">
  <sheetPr codeName="Sheet2"/>
  <dimension ref="A1:DT158"/>
  <sheetViews>
    <sheetView tabSelected="1" zoomScale="80" workbookViewId="0">
      <selection activeCell="G164" sqref="G164"/>
    </sheetView>
  </sheetViews>
  <sheetFormatPr defaultRowHeight="16.5" x14ac:dyDescent="0.3"/>
  <cols>
    <col min="1" max="1" width="8.25" style="34" customWidth="1"/>
    <col min="2" max="2" width="13.625" style="34" bestFit="1" customWidth="1"/>
    <col min="3" max="3" width="7.875" style="34" bestFit="1" customWidth="1"/>
    <col min="4" max="4" width="6.25" style="34" bestFit="1" customWidth="1"/>
    <col min="5" max="5" width="12.25" style="34" bestFit="1" customWidth="1"/>
    <col min="6" max="6" width="13.625" style="34" bestFit="1" customWidth="1"/>
    <col min="7" max="7" width="10.125" style="34" customWidth="1"/>
    <col min="8" max="8" width="17.125" style="34" customWidth="1"/>
    <col min="9" max="9" width="9.75" style="34" customWidth="1"/>
    <col min="10" max="10" width="17" style="34" bestFit="1" customWidth="1"/>
    <col min="11" max="11" width="8.375" style="34" bestFit="1" customWidth="1"/>
    <col min="12" max="12" width="8.375" style="34" customWidth="1"/>
    <col min="13" max="13" width="9.875" style="34" bestFit="1" customWidth="1"/>
    <col min="14" max="14" width="8.625" style="34" bestFit="1" customWidth="1"/>
    <col min="15" max="15" width="11" style="34" bestFit="1" customWidth="1"/>
    <col min="16" max="16" width="9.75" style="34" bestFit="1" customWidth="1"/>
    <col min="17" max="17" width="9.375" style="34" bestFit="1" customWidth="1"/>
    <col min="18" max="18" width="8.125" style="34" bestFit="1" customWidth="1"/>
    <col min="19" max="19" width="10.5" style="34" bestFit="1" customWidth="1"/>
    <col min="20" max="20" width="9.25" style="34" bestFit="1" customWidth="1"/>
    <col min="21" max="21" width="14.375" style="34" bestFit="1" customWidth="1"/>
    <col min="22" max="24" width="15.625" style="34" bestFit="1" customWidth="1"/>
    <col min="25" max="25" width="9.125" style="30"/>
    <col min="26" max="124" width="9.125" style="22"/>
  </cols>
  <sheetData>
    <row r="1" spans="1:25" x14ac:dyDescent="0.3">
      <c r="A1" s="31" t="s">
        <v>85</v>
      </c>
      <c r="B1" s="31" t="s">
        <v>66</v>
      </c>
      <c r="C1" s="31" t="s">
        <v>2</v>
      </c>
      <c r="D1" s="31" t="s">
        <v>1</v>
      </c>
      <c r="E1" s="31" t="s">
        <v>86</v>
      </c>
      <c r="F1" s="29" t="s">
        <v>15</v>
      </c>
      <c r="G1" s="31" t="s">
        <v>30</v>
      </c>
      <c r="H1" s="31" t="s">
        <v>67</v>
      </c>
      <c r="I1" s="31" t="s">
        <v>13</v>
      </c>
      <c r="J1" s="29" t="s">
        <v>68</v>
      </c>
      <c r="K1" s="29" t="s">
        <v>14</v>
      </c>
      <c r="L1" s="29" t="s">
        <v>18</v>
      </c>
      <c r="M1" s="29" t="s">
        <v>69</v>
      </c>
      <c r="N1" s="29" t="s">
        <v>70</v>
      </c>
      <c r="O1" s="29" t="s">
        <v>71</v>
      </c>
      <c r="P1" s="29" t="s">
        <v>72</v>
      </c>
      <c r="Q1" s="32" t="s">
        <v>73</v>
      </c>
      <c r="R1" s="29" t="s">
        <v>74</v>
      </c>
      <c r="S1" s="29" t="s">
        <v>75</v>
      </c>
      <c r="T1" s="29" t="s">
        <v>76</v>
      </c>
      <c r="U1" s="29" t="s">
        <v>16</v>
      </c>
      <c r="V1" s="29" t="s">
        <v>17</v>
      </c>
      <c r="W1" s="29" t="s">
        <v>19</v>
      </c>
      <c r="X1" s="29" t="s">
        <v>20</v>
      </c>
      <c r="Y1" s="29" t="s">
        <v>92</v>
      </c>
    </row>
    <row r="2" spans="1:25" x14ac:dyDescent="0.3">
      <c r="A2" s="33">
        <v>1</v>
      </c>
      <c r="B2" s="33" t="s">
        <v>97</v>
      </c>
      <c r="C2" s="33">
        <v>1</v>
      </c>
      <c r="D2" s="33"/>
      <c r="F2" s="34">
        <v>60</v>
      </c>
      <c r="G2" s="34" t="s">
        <v>95</v>
      </c>
      <c r="H2" s="34" t="s">
        <v>78</v>
      </c>
      <c r="I2" s="34">
        <v>35</v>
      </c>
      <c r="J2" s="34" t="s">
        <v>79</v>
      </c>
      <c r="K2" s="34">
        <v>5</v>
      </c>
      <c r="L2" s="34" t="b">
        <v>1</v>
      </c>
      <c r="M2" s="34">
        <v>8</v>
      </c>
      <c r="N2" s="34" t="s">
        <v>96</v>
      </c>
      <c r="O2" s="33"/>
      <c r="P2" s="33"/>
      <c r="Q2" s="35"/>
    </row>
    <row r="3" spans="1:25" x14ac:dyDescent="0.3">
      <c r="A3" s="33">
        <v>1</v>
      </c>
      <c r="B3" s="33" t="s">
        <v>94</v>
      </c>
      <c r="C3" s="33">
        <v>1</v>
      </c>
      <c r="D3" s="33"/>
      <c r="F3" s="34">
        <v>3</v>
      </c>
      <c r="G3" s="34" t="s">
        <v>98</v>
      </c>
      <c r="H3" s="34" t="s">
        <v>78</v>
      </c>
      <c r="I3" s="34">
        <v>5</v>
      </c>
      <c r="J3" s="34" t="s">
        <v>78</v>
      </c>
      <c r="K3" s="34">
        <v>8</v>
      </c>
      <c r="L3" s="34" t="b">
        <v>0</v>
      </c>
      <c r="M3" s="34">
        <v>0</v>
      </c>
      <c r="N3" s="34" t="s">
        <v>99</v>
      </c>
      <c r="U3" s="34" t="s">
        <v>95</v>
      </c>
    </row>
    <row r="4" spans="1:25" x14ac:dyDescent="0.3">
      <c r="A4" s="33">
        <v>2</v>
      </c>
      <c r="B4" s="33" t="s">
        <v>94</v>
      </c>
      <c r="C4" s="33">
        <v>1</v>
      </c>
      <c r="D4" s="33">
        <v>1</v>
      </c>
      <c r="E4" s="34">
        <v>10</v>
      </c>
      <c r="F4" s="34">
        <v>3</v>
      </c>
      <c r="G4" s="34" t="s">
        <v>100</v>
      </c>
      <c r="H4" s="34" t="s">
        <v>78</v>
      </c>
      <c r="I4" s="34">
        <v>8</v>
      </c>
      <c r="J4" s="34" t="s">
        <v>78</v>
      </c>
      <c r="K4" s="34">
        <v>11</v>
      </c>
      <c r="L4" s="34" t="b">
        <v>0</v>
      </c>
      <c r="M4" s="34">
        <v>49</v>
      </c>
      <c r="N4" s="34" t="s">
        <v>101</v>
      </c>
      <c r="Q4" s="34">
        <v>75</v>
      </c>
      <c r="R4" s="34" t="s">
        <v>115</v>
      </c>
    </row>
    <row r="5" spans="1:25" x14ac:dyDescent="0.3">
      <c r="A5" s="34">
        <v>3</v>
      </c>
      <c r="B5" s="34" t="s">
        <v>94</v>
      </c>
      <c r="C5" s="34">
        <v>1</v>
      </c>
      <c r="D5" s="34">
        <v>2</v>
      </c>
      <c r="E5" s="34">
        <v>7</v>
      </c>
      <c r="F5" s="34">
        <v>0</v>
      </c>
      <c r="G5" s="34" t="s">
        <v>120</v>
      </c>
      <c r="H5" s="34" t="s">
        <v>78</v>
      </c>
      <c r="I5" s="34">
        <v>11</v>
      </c>
      <c r="J5" s="34" t="s">
        <v>78</v>
      </c>
      <c r="K5" s="34">
        <v>11</v>
      </c>
      <c r="L5" s="34" t="b">
        <v>0</v>
      </c>
      <c r="M5" s="34">
        <v>28</v>
      </c>
      <c r="N5" s="34" t="s">
        <v>103</v>
      </c>
      <c r="O5" s="34">
        <v>9</v>
      </c>
      <c r="P5" s="34" t="s">
        <v>104</v>
      </c>
    </row>
    <row r="6" spans="1:25" x14ac:dyDescent="0.3">
      <c r="A6" s="34">
        <v>4</v>
      </c>
      <c r="B6" s="34" t="s">
        <v>94</v>
      </c>
      <c r="C6" s="34">
        <v>1</v>
      </c>
      <c r="D6" s="34">
        <v>3</v>
      </c>
      <c r="E6" s="34">
        <v>7</v>
      </c>
      <c r="F6" s="34">
        <v>0</v>
      </c>
      <c r="G6" s="34" t="s">
        <v>120</v>
      </c>
      <c r="H6" s="34" t="s">
        <v>78</v>
      </c>
      <c r="I6" s="34">
        <v>11</v>
      </c>
      <c r="J6" s="34" t="s">
        <v>78</v>
      </c>
      <c r="K6" s="34">
        <v>11</v>
      </c>
      <c r="L6" s="34" t="b">
        <v>0</v>
      </c>
      <c r="M6" s="34">
        <v>16</v>
      </c>
      <c r="N6" s="34" t="s">
        <v>103</v>
      </c>
      <c r="O6" s="34">
        <v>9</v>
      </c>
      <c r="P6" s="34" t="s">
        <v>104</v>
      </c>
      <c r="Q6" s="34">
        <v>24</v>
      </c>
      <c r="R6" s="34" t="s">
        <v>99</v>
      </c>
      <c r="S6" s="34">
        <v>8</v>
      </c>
      <c r="T6" s="34" t="s">
        <v>99</v>
      </c>
    </row>
    <row r="7" spans="1:25" x14ac:dyDescent="0.3">
      <c r="A7" s="34">
        <v>5</v>
      </c>
      <c r="B7" s="34" t="s">
        <v>94</v>
      </c>
      <c r="C7" s="34">
        <v>1</v>
      </c>
      <c r="F7" s="34">
        <v>0</v>
      </c>
      <c r="G7" s="34" t="s">
        <v>106</v>
      </c>
      <c r="I7" s="34">
        <v>5</v>
      </c>
      <c r="L7" s="34" t="b">
        <v>0</v>
      </c>
      <c r="U7" s="34" t="s">
        <v>119</v>
      </c>
    </row>
    <row r="8" spans="1:25" x14ac:dyDescent="0.3">
      <c r="A8" s="34">
        <v>6</v>
      </c>
      <c r="B8" s="34" t="s">
        <v>94</v>
      </c>
      <c r="C8" s="34">
        <v>1</v>
      </c>
      <c r="D8" s="34">
        <v>4</v>
      </c>
      <c r="E8" s="34">
        <v>12</v>
      </c>
      <c r="F8" s="34">
        <v>32</v>
      </c>
      <c r="G8" s="34" t="s">
        <v>121</v>
      </c>
      <c r="H8" s="34" t="s">
        <v>78</v>
      </c>
      <c r="I8" s="34">
        <v>6</v>
      </c>
      <c r="J8" s="34" t="s">
        <v>78</v>
      </c>
      <c r="K8" s="34">
        <v>38</v>
      </c>
      <c r="L8" s="34" t="b">
        <v>1</v>
      </c>
      <c r="M8" s="34">
        <v>16</v>
      </c>
      <c r="N8" s="34" t="s">
        <v>122</v>
      </c>
    </row>
    <row r="9" spans="1:25" x14ac:dyDescent="0.3">
      <c r="A9" s="34">
        <v>7</v>
      </c>
      <c r="B9" s="34" t="s">
        <v>97</v>
      </c>
      <c r="C9" s="34">
        <v>1</v>
      </c>
      <c r="D9" s="34">
        <v>1</v>
      </c>
      <c r="E9" s="34">
        <v>10</v>
      </c>
      <c r="F9" s="34">
        <v>-5</v>
      </c>
      <c r="G9" s="34" t="s">
        <v>100</v>
      </c>
      <c r="H9" s="34" t="s">
        <v>79</v>
      </c>
      <c r="I9" s="34">
        <v>38</v>
      </c>
      <c r="J9" s="34" t="s">
        <v>79</v>
      </c>
      <c r="K9" s="34">
        <v>43</v>
      </c>
      <c r="L9" s="34" t="b">
        <v>0</v>
      </c>
      <c r="M9" s="34">
        <v>28</v>
      </c>
      <c r="N9" s="34" t="s">
        <v>101</v>
      </c>
      <c r="Q9" s="34">
        <v>99</v>
      </c>
      <c r="R9" s="34" t="s">
        <v>105</v>
      </c>
      <c r="U9" s="34" t="s">
        <v>116</v>
      </c>
    </row>
    <row r="10" spans="1:25" x14ac:dyDescent="0.3">
      <c r="A10" s="34">
        <v>8</v>
      </c>
      <c r="B10" s="34" t="s">
        <v>97</v>
      </c>
      <c r="C10" s="34">
        <v>1</v>
      </c>
      <c r="D10" s="34">
        <v>2</v>
      </c>
      <c r="E10" s="34">
        <v>15</v>
      </c>
      <c r="F10" s="34">
        <v>2</v>
      </c>
      <c r="G10" s="34" t="s">
        <v>100</v>
      </c>
      <c r="H10" s="34" t="s">
        <v>79</v>
      </c>
      <c r="I10" s="34">
        <v>43</v>
      </c>
      <c r="J10" s="34" t="s">
        <v>79</v>
      </c>
      <c r="K10" s="34">
        <v>41</v>
      </c>
      <c r="L10" s="34" t="b">
        <v>0</v>
      </c>
      <c r="M10" s="34">
        <v>2</v>
      </c>
      <c r="N10" s="34" t="s">
        <v>104</v>
      </c>
      <c r="Q10" s="34">
        <v>95</v>
      </c>
      <c r="R10" s="34" t="s">
        <v>115</v>
      </c>
      <c r="S10" s="34">
        <v>3</v>
      </c>
      <c r="T10" s="34" t="s">
        <v>105</v>
      </c>
    </row>
    <row r="11" spans="1:25" x14ac:dyDescent="0.3">
      <c r="A11" s="34">
        <v>9</v>
      </c>
      <c r="B11" s="34" t="s">
        <v>97</v>
      </c>
      <c r="C11" s="34">
        <v>1</v>
      </c>
      <c r="F11" s="34">
        <v>0</v>
      </c>
      <c r="G11" s="34" t="s">
        <v>106</v>
      </c>
      <c r="I11" s="34">
        <v>10</v>
      </c>
      <c r="L11" s="34" t="b">
        <v>0</v>
      </c>
      <c r="U11" s="34" t="s">
        <v>107</v>
      </c>
    </row>
    <row r="12" spans="1:25" x14ac:dyDescent="0.3">
      <c r="A12" s="34">
        <v>10</v>
      </c>
      <c r="B12" s="34" t="s">
        <v>97</v>
      </c>
      <c r="C12" s="34">
        <v>1</v>
      </c>
      <c r="D12" s="34">
        <v>3</v>
      </c>
      <c r="E12" s="34">
        <v>23</v>
      </c>
      <c r="F12" s="34">
        <v>9</v>
      </c>
      <c r="G12" s="34" t="s">
        <v>102</v>
      </c>
      <c r="H12" s="34" t="s">
        <v>78</v>
      </c>
      <c r="I12" s="34">
        <v>49</v>
      </c>
      <c r="J12" s="34" t="s">
        <v>79</v>
      </c>
      <c r="K12" s="34">
        <v>42</v>
      </c>
      <c r="L12" s="34" t="b">
        <v>0</v>
      </c>
      <c r="M12" s="34">
        <v>4</v>
      </c>
      <c r="N12" s="34" t="s">
        <v>103</v>
      </c>
      <c r="O12" s="34">
        <v>2</v>
      </c>
      <c r="P12" s="34" t="s">
        <v>104</v>
      </c>
    </row>
    <row r="13" spans="1:25" x14ac:dyDescent="0.3">
      <c r="A13" s="34">
        <v>10</v>
      </c>
      <c r="B13" s="34" t="s">
        <v>97</v>
      </c>
      <c r="C13" s="34">
        <v>1</v>
      </c>
      <c r="D13" s="34">
        <v>3</v>
      </c>
      <c r="E13" s="34">
        <v>23</v>
      </c>
      <c r="F13" s="34">
        <v>10</v>
      </c>
      <c r="G13" s="34" t="s">
        <v>102</v>
      </c>
      <c r="H13" s="34" t="s">
        <v>79</v>
      </c>
      <c r="I13" s="34">
        <v>42</v>
      </c>
      <c r="J13" s="34" t="s">
        <v>79</v>
      </c>
      <c r="K13" s="34">
        <v>32</v>
      </c>
      <c r="L13" s="34" t="b">
        <v>0</v>
      </c>
      <c r="M13" s="34">
        <v>28</v>
      </c>
      <c r="N13" s="34" t="s">
        <v>101</v>
      </c>
      <c r="O13" s="34">
        <v>4</v>
      </c>
      <c r="P13" s="34" t="s">
        <v>103</v>
      </c>
      <c r="Q13" s="34">
        <v>12</v>
      </c>
      <c r="R13" s="34" t="s">
        <v>99</v>
      </c>
    </row>
    <row r="14" spans="1:25" x14ac:dyDescent="0.3">
      <c r="A14" s="34">
        <v>11</v>
      </c>
      <c r="B14" s="34" t="s">
        <v>97</v>
      </c>
      <c r="C14" s="34">
        <v>1</v>
      </c>
      <c r="F14" s="34">
        <v>0</v>
      </c>
      <c r="G14" s="34" t="s">
        <v>106</v>
      </c>
      <c r="I14" s="34">
        <v>5</v>
      </c>
      <c r="L14" s="34" t="b">
        <v>0</v>
      </c>
      <c r="U14" s="34" t="s">
        <v>119</v>
      </c>
    </row>
    <row r="15" spans="1:25" x14ac:dyDescent="0.3">
      <c r="A15" s="34">
        <v>12</v>
      </c>
      <c r="B15" s="34" t="s">
        <v>97</v>
      </c>
      <c r="C15" s="34">
        <v>1</v>
      </c>
      <c r="D15" s="34">
        <v>1</v>
      </c>
      <c r="E15" s="34">
        <v>10</v>
      </c>
      <c r="F15" s="34">
        <v>-4</v>
      </c>
      <c r="G15" s="34" t="s">
        <v>125</v>
      </c>
      <c r="H15" s="34" t="s">
        <v>79</v>
      </c>
      <c r="I15" s="34">
        <v>27</v>
      </c>
      <c r="J15" s="34" t="s">
        <v>79</v>
      </c>
      <c r="K15" s="34">
        <v>31</v>
      </c>
      <c r="L15" s="34" t="b">
        <v>0</v>
      </c>
      <c r="M15" s="34">
        <v>2</v>
      </c>
      <c r="N15" s="34" t="s">
        <v>104</v>
      </c>
      <c r="O15" s="34">
        <v>55</v>
      </c>
      <c r="P15" s="34" t="s">
        <v>124</v>
      </c>
      <c r="Q15" s="34">
        <v>96</v>
      </c>
      <c r="R15" s="34" t="s">
        <v>115</v>
      </c>
      <c r="S15" s="34">
        <v>59</v>
      </c>
      <c r="T15" s="34" t="s">
        <v>115</v>
      </c>
      <c r="U15" s="34" t="s">
        <v>125</v>
      </c>
      <c r="V15" s="34" t="s">
        <v>116</v>
      </c>
    </row>
    <row r="16" spans="1:25" x14ac:dyDescent="0.3">
      <c r="A16" s="34">
        <v>13</v>
      </c>
      <c r="B16" s="34" t="s">
        <v>97</v>
      </c>
      <c r="C16" s="34">
        <v>1</v>
      </c>
      <c r="D16" s="34">
        <v>2</v>
      </c>
      <c r="E16" s="34">
        <v>14</v>
      </c>
      <c r="F16" s="34">
        <v>6</v>
      </c>
      <c r="G16" s="34" t="s">
        <v>100</v>
      </c>
      <c r="H16" s="34" t="s">
        <v>79</v>
      </c>
      <c r="I16" s="34">
        <v>31</v>
      </c>
      <c r="J16" s="34" t="s">
        <v>79</v>
      </c>
      <c r="K16" s="34">
        <v>25</v>
      </c>
      <c r="L16" s="34" t="b">
        <v>0</v>
      </c>
      <c r="M16" s="34">
        <v>28</v>
      </c>
      <c r="N16" s="34" t="s">
        <v>101</v>
      </c>
      <c r="Q16" s="34">
        <v>3</v>
      </c>
      <c r="R16" s="34" t="s">
        <v>105</v>
      </c>
      <c r="S16" s="34">
        <v>99</v>
      </c>
      <c r="T16" s="34" t="s">
        <v>105</v>
      </c>
    </row>
    <row r="17" spans="1:21" x14ac:dyDescent="0.3">
      <c r="A17" s="34">
        <v>14</v>
      </c>
      <c r="B17" s="34" t="s">
        <v>97</v>
      </c>
      <c r="C17" s="34">
        <v>1</v>
      </c>
      <c r="D17" s="34">
        <v>3</v>
      </c>
      <c r="E17" s="34">
        <v>8</v>
      </c>
      <c r="F17" s="34">
        <v>2</v>
      </c>
      <c r="G17" s="34" t="s">
        <v>100</v>
      </c>
      <c r="H17" s="34" t="s">
        <v>79</v>
      </c>
      <c r="I17" s="34">
        <v>25</v>
      </c>
      <c r="J17" s="34" t="s">
        <v>79</v>
      </c>
      <c r="K17" s="34">
        <v>23</v>
      </c>
      <c r="L17" s="34" t="b">
        <v>0</v>
      </c>
      <c r="M17" s="34">
        <v>2</v>
      </c>
      <c r="N17" s="34" t="s">
        <v>104</v>
      </c>
      <c r="Q17" s="34">
        <v>56</v>
      </c>
      <c r="R17" s="34" t="s">
        <v>115</v>
      </c>
    </row>
    <row r="18" spans="1:21" x14ac:dyDescent="0.3">
      <c r="A18" s="34">
        <v>15</v>
      </c>
      <c r="B18" s="34" t="s">
        <v>97</v>
      </c>
      <c r="C18" s="34">
        <v>1</v>
      </c>
      <c r="D18" s="34">
        <v>4</v>
      </c>
      <c r="E18" s="34">
        <v>6</v>
      </c>
      <c r="F18" s="34">
        <v>23</v>
      </c>
      <c r="G18" s="34" t="s">
        <v>117</v>
      </c>
      <c r="H18" s="34" t="s">
        <v>79</v>
      </c>
      <c r="I18" s="34">
        <v>23</v>
      </c>
      <c r="J18" s="34" t="s">
        <v>79</v>
      </c>
      <c r="K18" s="34">
        <v>0</v>
      </c>
      <c r="L18" s="34" t="b">
        <v>1</v>
      </c>
      <c r="M18" s="34">
        <v>8</v>
      </c>
      <c r="N18" s="34" t="s">
        <v>96</v>
      </c>
      <c r="U18" s="34" t="s">
        <v>118</v>
      </c>
    </row>
    <row r="19" spans="1:21" x14ac:dyDescent="0.3">
      <c r="A19" s="34">
        <v>16</v>
      </c>
      <c r="B19" s="34" t="s">
        <v>97</v>
      </c>
      <c r="C19" s="34">
        <v>1</v>
      </c>
      <c r="F19" s="34">
        <v>65</v>
      </c>
      <c r="G19" s="34" t="s">
        <v>95</v>
      </c>
      <c r="H19" s="34" t="s">
        <v>78</v>
      </c>
      <c r="I19" s="34">
        <v>35</v>
      </c>
      <c r="J19" s="34" t="s">
        <v>79</v>
      </c>
      <c r="K19" s="34">
        <v>0</v>
      </c>
      <c r="L19" s="34" t="b">
        <v>1</v>
      </c>
      <c r="M19" s="34">
        <v>8</v>
      </c>
      <c r="N19" s="34" t="s">
        <v>96</v>
      </c>
    </row>
    <row r="20" spans="1:21" x14ac:dyDescent="0.3">
      <c r="A20" s="34">
        <v>17</v>
      </c>
      <c r="B20" s="34" t="s">
        <v>94</v>
      </c>
      <c r="C20" s="34">
        <v>1</v>
      </c>
      <c r="D20" s="34">
        <v>1</v>
      </c>
      <c r="E20" s="34">
        <v>10</v>
      </c>
      <c r="F20" s="34">
        <v>-1</v>
      </c>
      <c r="G20" s="34" t="s">
        <v>100</v>
      </c>
      <c r="H20" s="34" t="s">
        <v>78</v>
      </c>
      <c r="I20" s="34">
        <v>25</v>
      </c>
      <c r="J20" s="34" t="s">
        <v>78</v>
      </c>
      <c r="K20" s="34">
        <v>24</v>
      </c>
      <c r="L20" s="34" t="b">
        <v>0</v>
      </c>
      <c r="M20" s="34">
        <v>11</v>
      </c>
      <c r="N20" s="34" t="s">
        <v>101</v>
      </c>
      <c r="Q20" s="34">
        <v>98</v>
      </c>
      <c r="R20" s="34" t="s">
        <v>115</v>
      </c>
      <c r="U20" s="34" t="s">
        <v>116</v>
      </c>
    </row>
    <row r="21" spans="1:21" x14ac:dyDescent="0.3">
      <c r="A21" s="34">
        <v>18</v>
      </c>
      <c r="B21" s="34" t="s">
        <v>94</v>
      </c>
      <c r="C21" s="34">
        <v>1</v>
      </c>
      <c r="D21" s="34">
        <v>2</v>
      </c>
      <c r="E21" s="34">
        <v>11</v>
      </c>
      <c r="F21" s="34">
        <v>19</v>
      </c>
      <c r="G21" s="34" t="s">
        <v>100</v>
      </c>
      <c r="H21" s="34" t="s">
        <v>78</v>
      </c>
      <c r="I21" s="34">
        <v>24</v>
      </c>
      <c r="J21" s="34" t="s">
        <v>78</v>
      </c>
      <c r="K21" s="34">
        <v>43</v>
      </c>
      <c r="L21" s="34" t="b">
        <v>0</v>
      </c>
      <c r="M21" s="34">
        <v>9</v>
      </c>
      <c r="N21" s="34" t="s">
        <v>104</v>
      </c>
    </row>
    <row r="22" spans="1:21" x14ac:dyDescent="0.3">
      <c r="A22" s="34">
        <v>19</v>
      </c>
      <c r="B22" s="34" t="s">
        <v>94</v>
      </c>
      <c r="C22" s="34">
        <v>1</v>
      </c>
      <c r="D22" s="34">
        <v>1</v>
      </c>
      <c r="E22" s="34">
        <v>10</v>
      </c>
      <c r="F22" s="34">
        <v>6</v>
      </c>
      <c r="G22" s="34" t="s">
        <v>102</v>
      </c>
      <c r="H22" s="34" t="s">
        <v>78</v>
      </c>
      <c r="I22" s="34">
        <v>43</v>
      </c>
      <c r="J22" s="34" t="s">
        <v>78</v>
      </c>
      <c r="K22" s="34">
        <v>49</v>
      </c>
      <c r="L22" s="34" t="b">
        <v>0</v>
      </c>
      <c r="M22" s="34">
        <v>7</v>
      </c>
      <c r="N22" s="34" t="s">
        <v>103</v>
      </c>
      <c r="O22" s="34">
        <v>9</v>
      </c>
      <c r="P22" s="34" t="s">
        <v>104</v>
      </c>
      <c r="Q22" s="34">
        <v>0</v>
      </c>
      <c r="R22" s="34" t="s">
        <v>99</v>
      </c>
    </row>
    <row r="23" spans="1:21" x14ac:dyDescent="0.3">
      <c r="A23" s="34">
        <v>20</v>
      </c>
      <c r="B23" s="34" t="s">
        <v>94</v>
      </c>
      <c r="C23" s="34">
        <v>1</v>
      </c>
      <c r="D23" s="34">
        <v>2</v>
      </c>
      <c r="E23" s="34">
        <v>4</v>
      </c>
      <c r="F23" s="34">
        <v>5</v>
      </c>
      <c r="G23" s="34" t="s">
        <v>100</v>
      </c>
      <c r="H23" s="34" t="s">
        <v>78</v>
      </c>
      <c r="I23" s="34">
        <v>49</v>
      </c>
      <c r="J23" s="34" t="s">
        <v>79</v>
      </c>
      <c r="K23" s="34">
        <v>46</v>
      </c>
      <c r="L23" s="34" t="b">
        <v>0</v>
      </c>
      <c r="M23" s="34">
        <v>11</v>
      </c>
      <c r="N23" s="34" t="s">
        <v>101</v>
      </c>
      <c r="Q23" s="34">
        <v>35</v>
      </c>
      <c r="R23" s="34" t="s">
        <v>115</v>
      </c>
      <c r="S23" s="34">
        <v>98</v>
      </c>
      <c r="T23" s="34" t="s">
        <v>115</v>
      </c>
    </row>
    <row r="24" spans="1:21" x14ac:dyDescent="0.3">
      <c r="A24" s="34">
        <v>21</v>
      </c>
      <c r="B24" s="34" t="s">
        <v>94</v>
      </c>
      <c r="C24" s="34">
        <v>1</v>
      </c>
      <c r="D24" s="34">
        <v>1</v>
      </c>
      <c r="E24" s="34">
        <v>10</v>
      </c>
      <c r="F24" s="34">
        <v>33</v>
      </c>
      <c r="G24" s="34" t="s">
        <v>102</v>
      </c>
      <c r="H24" s="34" t="s">
        <v>79</v>
      </c>
      <c r="I24" s="34">
        <v>46</v>
      </c>
      <c r="J24" s="34" t="s">
        <v>79</v>
      </c>
      <c r="K24" s="34">
        <v>13</v>
      </c>
      <c r="L24" s="34" t="b">
        <v>0</v>
      </c>
      <c r="M24" s="34">
        <v>7</v>
      </c>
      <c r="N24" s="34" t="s">
        <v>103</v>
      </c>
      <c r="O24" s="34">
        <v>9</v>
      </c>
      <c r="P24" s="34" t="s">
        <v>104</v>
      </c>
      <c r="Q24" s="34">
        <v>0</v>
      </c>
      <c r="R24" s="34" t="s">
        <v>99</v>
      </c>
    </row>
    <row r="25" spans="1:21" x14ac:dyDescent="0.3">
      <c r="A25" s="34">
        <v>22</v>
      </c>
      <c r="B25" s="34" t="s">
        <v>94</v>
      </c>
      <c r="C25" s="34">
        <v>1</v>
      </c>
      <c r="D25" s="34">
        <v>1</v>
      </c>
      <c r="E25" s="34">
        <v>10</v>
      </c>
      <c r="F25" s="34">
        <v>2</v>
      </c>
      <c r="G25" s="34" t="s">
        <v>100</v>
      </c>
      <c r="H25" s="34" t="s">
        <v>79</v>
      </c>
      <c r="I25" s="34">
        <v>13</v>
      </c>
      <c r="J25" s="34" t="s">
        <v>79</v>
      </c>
      <c r="K25" s="34">
        <v>11</v>
      </c>
      <c r="L25" s="34" t="b">
        <v>0</v>
      </c>
      <c r="M25" s="34">
        <v>11</v>
      </c>
      <c r="N25" s="34" t="s">
        <v>101</v>
      </c>
      <c r="Q25" s="34">
        <v>32</v>
      </c>
      <c r="R25" s="34" t="s">
        <v>115</v>
      </c>
    </row>
    <row r="26" spans="1:21" x14ac:dyDescent="0.3">
      <c r="A26" s="34">
        <v>23</v>
      </c>
      <c r="B26" s="34" t="s">
        <v>94</v>
      </c>
      <c r="C26" s="34">
        <v>1</v>
      </c>
      <c r="D26" s="34">
        <v>2</v>
      </c>
      <c r="E26" s="34">
        <v>8</v>
      </c>
      <c r="F26" s="34">
        <v>0</v>
      </c>
      <c r="G26" s="34" t="s">
        <v>100</v>
      </c>
      <c r="H26" s="34" t="s">
        <v>79</v>
      </c>
      <c r="I26" s="34">
        <v>11</v>
      </c>
      <c r="J26" s="34" t="s">
        <v>79</v>
      </c>
      <c r="K26" s="34">
        <v>11</v>
      </c>
      <c r="L26" s="34" t="b">
        <v>0</v>
      </c>
      <c r="M26" s="34">
        <v>9</v>
      </c>
      <c r="N26" s="34" t="s">
        <v>104</v>
      </c>
      <c r="Q26" s="34">
        <v>13</v>
      </c>
      <c r="R26" s="34" t="s">
        <v>105</v>
      </c>
      <c r="S26" s="34">
        <v>44</v>
      </c>
      <c r="T26" s="34" t="s">
        <v>105</v>
      </c>
    </row>
    <row r="27" spans="1:21" x14ac:dyDescent="0.3">
      <c r="A27" s="34">
        <v>24</v>
      </c>
      <c r="B27" s="34" t="s">
        <v>94</v>
      </c>
      <c r="C27" s="34">
        <v>1</v>
      </c>
      <c r="D27" s="34">
        <v>3</v>
      </c>
      <c r="E27" s="34">
        <v>8</v>
      </c>
      <c r="F27" s="34">
        <v>11</v>
      </c>
      <c r="G27" s="34" t="s">
        <v>102</v>
      </c>
      <c r="H27" s="34" t="s">
        <v>79</v>
      </c>
      <c r="I27" s="34">
        <v>11</v>
      </c>
      <c r="J27" s="34" t="s">
        <v>79</v>
      </c>
      <c r="K27" s="34">
        <v>0</v>
      </c>
      <c r="L27" s="34" t="b">
        <v>0</v>
      </c>
      <c r="M27" s="34">
        <v>10</v>
      </c>
      <c r="N27" s="34" t="s">
        <v>103</v>
      </c>
      <c r="O27" s="34">
        <v>9</v>
      </c>
      <c r="P27" s="34" t="s">
        <v>104</v>
      </c>
      <c r="U27" s="34" t="s">
        <v>109</v>
      </c>
    </row>
    <row r="28" spans="1:21" x14ac:dyDescent="0.3">
      <c r="A28" s="34">
        <v>25</v>
      </c>
      <c r="B28" s="34" t="s">
        <v>94</v>
      </c>
      <c r="C28" s="34">
        <v>1</v>
      </c>
      <c r="F28" s="34">
        <v>0</v>
      </c>
      <c r="G28" s="34" t="s">
        <v>110</v>
      </c>
      <c r="L28" s="34" t="b">
        <v>1</v>
      </c>
      <c r="M28" s="34">
        <v>16</v>
      </c>
      <c r="N28" s="34" t="s">
        <v>96</v>
      </c>
      <c r="U28" s="34" t="s">
        <v>111</v>
      </c>
    </row>
    <row r="29" spans="1:21" x14ac:dyDescent="0.3">
      <c r="A29" s="34">
        <v>26</v>
      </c>
      <c r="B29" s="34" t="s">
        <v>94</v>
      </c>
      <c r="C29" s="34">
        <v>1</v>
      </c>
      <c r="F29" s="34">
        <v>0</v>
      </c>
      <c r="G29" s="34" t="s">
        <v>106</v>
      </c>
      <c r="I29" s="34">
        <v>5</v>
      </c>
      <c r="L29" s="34" t="b">
        <v>0</v>
      </c>
      <c r="U29" s="34" t="s">
        <v>119</v>
      </c>
    </row>
    <row r="30" spans="1:21" x14ac:dyDescent="0.3">
      <c r="A30" s="34">
        <v>27</v>
      </c>
      <c r="B30" s="34" t="s">
        <v>94</v>
      </c>
      <c r="C30" s="34">
        <v>1</v>
      </c>
      <c r="F30" s="34">
        <v>54</v>
      </c>
      <c r="G30" s="34" t="s">
        <v>95</v>
      </c>
      <c r="H30" s="34" t="s">
        <v>78</v>
      </c>
      <c r="I30" s="34">
        <v>30</v>
      </c>
      <c r="J30" s="34" t="s">
        <v>79</v>
      </c>
      <c r="K30" s="34">
        <v>16</v>
      </c>
      <c r="L30" s="34" t="b">
        <v>1</v>
      </c>
      <c r="M30" s="34">
        <v>16</v>
      </c>
      <c r="N30" s="34" t="s">
        <v>96</v>
      </c>
    </row>
    <row r="31" spans="1:21" x14ac:dyDescent="0.3">
      <c r="A31" s="34">
        <v>27</v>
      </c>
      <c r="B31" s="34" t="s">
        <v>97</v>
      </c>
      <c r="C31" s="34">
        <v>1</v>
      </c>
      <c r="F31" s="34">
        <v>84</v>
      </c>
      <c r="G31" s="34" t="s">
        <v>98</v>
      </c>
      <c r="H31" s="34" t="s">
        <v>78</v>
      </c>
      <c r="I31" s="34">
        <v>16</v>
      </c>
      <c r="J31" s="34" t="s">
        <v>79</v>
      </c>
      <c r="K31" s="34">
        <v>37</v>
      </c>
      <c r="L31" s="34" t="b">
        <v>0</v>
      </c>
      <c r="M31" s="34">
        <v>4</v>
      </c>
      <c r="N31" s="34" t="s">
        <v>103</v>
      </c>
      <c r="U31" s="34" t="s">
        <v>95</v>
      </c>
    </row>
    <row r="32" spans="1:21" x14ac:dyDescent="0.3">
      <c r="A32" s="34">
        <v>28</v>
      </c>
      <c r="B32" s="34" t="s">
        <v>97</v>
      </c>
      <c r="C32" s="34">
        <v>1</v>
      </c>
      <c r="D32" s="34">
        <v>1</v>
      </c>
      <c r="E32" s="34">
        <v>10</v>
      </c>
      <c r="F32" s="34">
        <v>-2</v>
      </c>
      <c r="G32" s="34" t="s">
        <v>102</v>
      </c>
      <c r="H32" s="34" t="s">
        <v>78</v>
      </c>
      <c r="I32" s="34">
        <v>37</v>
      </c>
      <c r="J32" s="34" t="s">
        <v>78</v>
      </c>
      <c r="K32" s="34">
        <v>35</v>
      </c>
      <c r="L32" s="34" t="b">
        <v>0</v>
      </c>
      <c r="M32" s="34">
        <v>11</v>
      </c>
      <c r="N32" s="34" t="s">
        <v>103</v>
      </c>
      <c r="O32" s="34">
        <v>2</v>
      </c>
      <c r="P32" s="34" t="s">
        <v>104</v>
      </c>
      <c r="Q32" s="34">
        <v>0</v>
      </c>
      <c r="R32" s="34" t="s">
        <v>99</v>
      </c>
      <c r="U32" s="34" t="s">
        <v>116</v>
      </c>
    </row>
    <row r="33" spans="1:22" x14ac:dyDescent="0.3">
      <c r="A33" s="34">
        <v>29</v>
      </c>
      <c r="B33" s="34" t="s">
        <v>97</v>
      </c>
      <c r="C33" s="34">
        <v>2</v>
      </c>
      <c r="D33" s="34">
        <v>2</v>
      </c>
      <c r="E33" s="34">
        <v>12</v>
      </c>
      <c r="F33" s="34">
        <v>-4</v>
      </c>
      <c r="G33" s="34" t="s">
        <v>100</v>
      </c>
      <c r="H33" s="34" t="s">
        <v>78</v>
      </c>
      <c r="I33" s="34">
        <v>35</v>
      </c>
      <c r="J33" s="34" t="s">
        <v>78</v>
      </c>
      <c r="K33" s="34">
        <v>31</v>
      </c>
      <c r="L33" s="34" t="b">
        <v>0</v>
      </c>
      <c r="M33" s="34">
        <v>2</v>
      </c>
      <c r="N33" s="34" t="s">
        <v>104</v>
      </c>
    </row>
    <row r="34" spans="1:22" x14ac:dyDescent="0.3">
      <c r="A34" s="34">
        <v>29</v>
      </c>
      <c r="B34" s="34" t="s">
        <v>97</v>
      </c>
      <c r="C34" s="34">
        <v>2</v>
      </c>
      <c r="F34" s="34">
        <v>0</v>
      </c>
      <c r="G34" s="34" t="s">
        <v>106</v>
      </c>
      <c r="I34" s="34">
        <v>5</v>
      </c>
      <c r="L34" s="34" t="b">
        <v>0</v>
      </c>
      <c r="U34" s="34" t="s">
        <v>107</v>
      </c>
    </row>
    <row r="35" spans="1:22" x14ac:dyDescent="0.3">
      <c r="A35" s="34">
        <v>30</v>
      </c>
      <c r="B35" s="34" t="s">
        <v>97</v>
      </c>
      <c r="C35" s="34">
        <v>2</v>
      </c>
      <c r="D35" s="34">
        <v>3</v>
      </c>
      <c r="E35" s="34">
        <v>12</v>
      </c>
      <c r="F35" s="34">
        <v>21</v>
      </c>
      <c r="G35" s="34" t="s">
        <v>102</v>
      </c>
      <c r="H35" s="34" t="s">
        <v>78</v>
      </c>
      <c r="I35" s="34">
        <v>26</v>
      </c>
      <c r="J35" s="34" t="s">
        <v>78</v>
      </c>
      <c r="K35" s="34">
        <v>47</v>
      </c>
      <c r="L35" s="34" t="b">
        <v>0</v>
      </c>
      <c r="M35" s="34">
        <v>4</v>
      </c>
      <c r="N35" s="34" t="s">
        <v>103</v>
      </c>
      <c r="O35" s="34">
        <v>2</v>
      </c>
      <c r="P35" s="34" t="s">
        <v>104</v>
      </c>
      <c r="Q35" s="34">
        <v>81</v>
      </c>
      <c r="R35" s="34" t="s">
        <v>99</v>
      </c>
    </row>
    <row r="36" spans="1:22" x14ac:dyDescent="0.3">
      <c r="A36" s="34">
        <v>31</v>
      </c>
      <c r="B36" s="34" t="s">
        <v>97</v>
      </c>
      <c r="C36" s="34">
        <v>2</v>
      </c>
      <c r="D36" s="34">
        <v>1</v>
      </c>
      <c r="E36" s="34">
        <v>10</v>
      </c>
      <c r="F36" s="34">
        <v>1</v>
      </c>
      <c r="G36" s="34" t="s">
        <v>100</v>
      </c>
      <c r="H36" s="34" t="s">
        <v>78</v>
      </c>
      <c r="I36" s="34">
        <v>47</v>
      </c>
      <c r="J36" s="34" t="s">
        <v>78</v>
      </c>
      <c r="K36" s="34">
        <v>48</v>
      </c>
      <c r="L36" s="34" t="b">
        <v>0</v>
      </c>
      <c r="M36" s="34">
        <v>39</v>
      </c>
      <c r="N36" s="34" t="s">
        <v>101</v>
      </c>
      <c r="Q36" s="34">
        <v>55</v>
      </c>
      <c r="R36" s="34" t="s">
        <v>105</v>
      </c>
      <c r="S36" s="34">
        <v>95</v>
      </c>
      <c r="T36" s="34" t="s">
        <v>115</v>
      </c>
    </row>
    <row r="37" spans="1:22" x14ac:dyDescent="0.3">
      <c r="A37" s="34">
        <v>32</v>
      </c>
      <c r="B37" s="34" t="s">
        <v>97</v>
      </c>
      <c r="C37" s="34">
        <v>2</v>
      </c>
      <c r="D37" s="34">
        <v>2</v>
      </c>
      <c r="E37" s="34">
        <v>9</v>
      </c>
      <c r="F37" s="34">
        <v>8</v>
      </c>
      <c r="G37" s="34" t="s">
        <v>100</v>
      </c>
      <c r="H37" s="34" t="s">
        <v>78</v>
      </c>
      <c r="I37" s="34">
        <v>48</v>
      </c>
      <c r="J37" s="34" t="s">
        <v>79</v>
      </c>
      <c r="K37" s="34">
        <v>44</v>
      </c>
      <c r="L37" s="34" t="b">
        <v>0</v>
      </c>
      <c r="M37" s="34">
        <v>2</v>
      </c>
      <c r="N37" s="34" t="s">
        <v>104</v>
      </c>
      <c r="Q37" s="34">
        <v>96</v>
      </c>
      <c r="R37" s="34" t="s">
        <v>115</v>
      </c>
    </row>
    <row r="38" spans="1:22" x14ac:dyDescent="0.3">
      <c r="A38" s="34">
        <v>33</v>
      </c>
      <c r="B38" s="34" t="s">
        <v>97</v>
      </c>
      <c r="C38" s="34">
        <v>2</v>
      </c>
      <c r="F38" s="34">
        <v>0</v>
      </c>
      <c r="G38" s="34" t="s">
        <v>106</v>
      </c>
      <c r="I38" s="34">
        <v>5</v>
      </c>
      <c r="L38" s="34" t="b">
        <v>0</v>
      </c>
      <c r="U38" s="34" t="s">
        <v>107</v>
      </c>
    </row>
    <row r="39" spans="1:22" x14ac:dyDescent="0.3">
      <c r="A39" s="34">
        <v>34</v>
      </c>
      <c r="B39" s="34" t="s">
        <v>97</v>
      </c>
      <c r="C39" s="34">
        <v>2</v>
      </c>
      <c r="D39" s="34">
        <v>3</v>
      </c>
      <c r="E39" s="34">
        <v>6</v>
      </c>
      <c r="F39" s="34">
        <v>0</v>
      </c>
      <c r="G39" s="34" t="s">
        <v>120</v>
      </c>
      <c r="H39" s="34" t="s">
        <v>79</v>
      </c>
      <c r="I39" s="34">
        <v>49</v>
      </c>
      <c r="J39" s="34" t="s">
        <v>79</v>
      </c>
      <c r="K39" s="34">
        <v>49</v>
      </c>
      <c r="L39" s="34" t="b">
        <v>0</v>
      </c>
      <c r="M39" s="34">
        <v>21</v>
      </c>
      <c r="N39" s="34" t="s">
        <v>103</v>
      </c>
      <c r="O39" s="34">
        <v>2</v>
      </c>
      <c r="P39" s="34" t="s">
        <v>104</v>
      </c>
      <c r="Q39" s="34">
        <v>99</v>
      </c>
      <c r="R39" s="34" t="s">
        <v>105</v>
      </c>
      <c r="U39" s="34" t="s">
        <v>123</v>
      </c>
    </row>
    <row r="40" spans="1:22" x14ac:dyDescent="0.3">
      <c r="A40" s="34">
        <v>34</v>
      </c>
      <c r="B40" s="34" t="s">
        <v>97</v>
      </c>
      <c r="C40" s="34">
        <v>2</v>
      </c>
      <c r="D40" s="34">
        <v>3</v>
      </c>
      <c r="E40" s="34">
        <v>6</v>
      </c>
      <c r="F40" s="34">
        <v>-2</v>
      </c>
      <c r="G40" s="34" t="s">
        <v>98</v>
      </c>
      <c r="H40" s="34" t="s">
        <v>79</v>
      </c>
      <c r="I40" s="34">
        <v>39</v>
      </c>
      <c r="J40" s="34" t="s">
        <v>79</v>
      </c>
      <c r="K40" s="34">
        <v>41</v>
      </c>
      <c r="L40" s="34" t="b">
        <v>0</v>
      </c>
      <c r="M40" s="34">
        <v>99</v>
      </c>
      <c r="N40" s="34" t="s">
        <v>105</v>
      </c>
      <c r="Q40" s="34">
        <v>21</v>
      </c>
      <c r="R40" s="34" t="s">
        <v>103</v>
      </c>
      <c r="U40" s="34" t="s">
        <v>114</v>
      </c>
    </row>
    <row r="41" spans="1:22" x14ac:dyDescent="0.3">
      <c r="A41" s="34">
        <v>35</v>
      </c>
      <c r="B41" s="34" t="s">
        <v>94</v>
      </c>
      <c r="C41" s="34">
        <v>2</v>
      </c>
      <c r="D41" s="34">
        <v>1</v>
      </c>
      <c r="E41" s="34">
        <v>10</v>
      </c>
      <c r="F41" s="34">
        <v>1</v>
      </c>
      <c r="G41" s="34" t="s">
        <v>100</v>
      </c>
      <c r="H41" s="34" t="s">
        <v>78</v>
      </c>
      <c r="I41" s="34">
        <v>41</v>
      </c>
      <c r="J41" s="34" t="s">
        <v>78</v>
      </c>
      <c r="K41" s="34">
        <v>42</v>
      </c>
      <c r="L41" s="34" t="b">
        <v>0</v>
      </c>
      <c r="M41" s="34">
        <v>49</v>
      </c>
      <c r="N41" s="34" t="s">
        <v>101</v>
      </c>
      <c r="Q41" s="34">
        <v>75</v>
      </c>
      <c r="R41" s="34" t="s">
        <v>115</v>
      </c>
      <c r="S41" s="34">
        <v>44</v>
      </c>
      <c r="T41" s="34" t="s">
        <v>105</v>
      </c>
    </row>
    <row r="42" spans="1:22" x14ac:dyDescent="0.3">
      <c r="A42" s="34">
        <v>36</v>
      </c>
      <c r="B42" s="34" t="s">
        <v>94</v>
      </c>
      <c r="C42" s="34">
        <v>2</v>
      </c>
      <c r="D42" s="34">
        <v>2</v>
      </c>
      <c r="E42" s="34">
        <v>9</v>
      </c>
      <c r="F42" s="34">
        <v>0</v>
      </c>
      <c r="G42" s="34" t="s">
        <v>120</v>
      </c>
      <c r="H42" s="34" t="s">
        <v>78</v>
      </c>
      <c r="I42" s="34">
        <v>42</v>
      </c>
      <c r="J42" s="34" t="s">
        <v>78</v>
      </c>
      <c r="K42" s="34">
        <v>42</v>
      </c>
      <c r="L42" s="34" t="b">
        <v>0</v>
      </c>
      <c r="M42" s="34">
        <v>10</v>
      </c>
      <c r="N42" s="34" t="s">
        <v>103</v>
      </c>
      <c r="O42" s="34">
        <v>9</v>
      </c>
      <c r="P42" s="34" t="s">
        <v>104</v>
      </c>
    </row>
    <row r="43" spans="1:22" x14ac:dyDescent="0.3">
      <c r="A43" s="34">
        <v>37</v>
      </c>
      <c r="B43" s="34" t="s">
        <v>94</v>
      </c>
      <c r="C43" s="34">
        <v>2</v>
      </c>
      <c r="D43" s="34">
        <v>3</v>
      </c>
      <c r="E43" s="34">
        <v>9</v>
      </c>
      <c r="F43" s="34">
        <v>13</v>
      </c>
      <c r="G43" s="34" t="s">
        <v>102</v>
      </c>
      <c r="H43" s="34" t="s">
        <v>78</v>
      </c>
      <c r="I43" s="34">
        <v>42</v>
      </c>
      <c r="J43" s="34" t="s">
        <v>79</v>
      </c>
      <c r="K43" s="34">
        <v>45</v>
      </c>
      <c r="L43" s="34" t="b">
        <v>0</v>
      </c>
      <c r="M43" s="34">
        <v>23</v>
      </c>
      <c r="N43" s="34" t="s">
        <v>103</v>
      </c>
      <c r="O43" s="34">
        <v>9</v>
      </c>
      <c r="P43" s="34" t="s">
        <v>104</v>
      </c>
    </row>
    <row r="44" spans="1:22" x14ac:dyDescent="0.3">
      <c r="A44" s="34">
        <v>38</v>
      </c>
      <c r="B44" s="34" t="s">
        <v>94</v>
      </c>
      <c r="C44" s="34">
        <v>2</v>
      </c>
      <c r="D44" s="34">
        <v>1</v>
      </c>
      <c r="E44" s="34">
        <v>10</v>
      </c>
      <c r="F44" s="34">
        <v>-4</v>
      </c>
      <c r="G44" s="34" t="s">
        <v>100</v>
      </c>
      <c r="H44" s="34" t="s">
        <v>79</v>
      </c>
      <c r="I44" s="34">
        <v>45</v>
      </c>
      <c r="J44" s="34" t="s">
        <v>79</v>
      </c>
      <c r="K44" s="34">
        <v>49</v>
      </c>
      <c r="L44" s="34" t="b">
        <v>0</v>
      </c>
      <c r="M44" s="34">
        <v>10</v>
      </c>
      <c r="N44" s="34" t="s">
        <v>103</v>
      </c>
      <c r="Q44" s="34">
        <v>35</v>
      </c>
      <c r="R44" s="34" t="s">
        <v>115</v>
      </c>
      <c r="U44" s="34" t="s">
        <v>112</v>
      </c>
      <c r="V44" s="34" t="s">
        <v>113</v>
      </c>
    </row>
    <row r="45" spans="1:22" x14ac:dyDescent="0.3">
      <c r="A45" s="34">
        <v>38</v>
      </c>
      <c r="B45" s="34" t="s">
        <v>94</v>
      </c>
      <c r="C45" s="34">
        <v>2</v>
      </c>
      <c r="D45" s="34">
        <v>1</v>
      </c>
      <c r="E45" s="34">
        <v>10</v>
      </c>
      <c r="F45" s="34">
        <v>0</v>
      </c>
      <c r="G45" s="34" t="s">
        <v>98</v>
      </c>
      <c r="H45" s="34" t="s">
        <v>79</v>
      </c>
      <c r="I45" s="34">
        <v>49</v>
      </c>
      <c r="J45" s="34" t="s">
        <v>79</v>
      </c>
      <c r="K45" s="34">
        <v>49</v>
      </c>
      <c r="L45" s="34" t="b">
        <v>0</v>
      </c>
      <c r="M45" s="34">
        <v>10</v>
      </c>
      <c r="N45" s="34" t="s">
        <v>103</v>
      </c>
      <c r="Q45" s="34">
        <v>35</v>
      </c>
      <c r="R45" s="34" t="s">
        <v>115</v>
      </c>
      <c r="U45" s="34" t="s">
        <v>113</v>
      </c>
      <c r="V45" s="34" t="s">
        <v>114</v>
      </c>
    </row>
    <row r="46" spans="1:22" x14ac:dyDescent="0.3">
      <c r="A46" s="34">
        <v>39</v>
      </c>
      <c r="B46" s="34" t="s">
        <v>97</v>
      </c>
      <c r="C46" s="34">
        <v>2</v>
      </c>
      <c r="D46" s="34">
        <v>1</v>
      </c>
      <c r="E46" s="34">
        <v>10</v>
      </c>
      <c r="F46" s="34">
        <v>15</v>
      </c>
      <c r="G46" s="34" t="s">
        <v>100</v>
      </c>
      <c r="H46" s="34" t="s">
        <v>78</v>
      </c>
      <c r="I46" s="34">
        <v>49</v>
      </c>
      <c r="J46" s="34" t="s">
        <v>79</v>
      </c>
      <c r="K46" s="34">
        <v>36</v>
      </c>
      <c r="L46" s="34" t="b">
        <v>0</v>
      </c>
      <c r="M46" s="34">
        <v>21</v>
      </c>
      <c r="N46" s="34" t="s">
        <v>101</v>
      </c>
      <c r="Q46" s="34">
        <v>12</v>
      </c>
      <c r="R46" s="34" t="s">
        <v>99</v>
      </c>
      <c r="S46" s="34">
        <v>2</v>
      </c>
      <c r="T46" s="34" t="s">
        <v>99</v>
      </c>
    </row>
    <row r="47" spans="1:22" x14ac:dyDescent="0.3">
      <c r="A47" s="34">
        <v>40</v>
      </c>
      <c r="B47" s="34" t="s">
        <v>97</v>
      </c>
      <c r="C47" s="34">
        <v>2</v>
      </c>
      <c r="D47" s="34">
        <v>1</v>
      </c>
      <c r="E47" s="34">
        <v>10</v>
      </c>
      <c r="F47" s="34">
        <v>4</v>
      </c>
      <c r="G47" s="34" t="s">
        <v>100</v>
      </c>
      <c r="H47" s="34" t="s">
        <v>79</v>
      </c>
      <c r="I47" s="34">
        <v>36</v>
      </c>
      <c r="J47" s="34" t="s">
        <v>79</v>
      </c>
      <c r="K47" s="34">
        <v>32</v>
      </c>
      <c r="L47" s="34" t="b">
        <v>0</v>
      </c>
      <c r="M47" s="34">
        <v>28</v>
      </c>
      <c r="N47" s="34" t="s">
        <v>101</v>
      </c>
      <c r="Q47" s="34">
        <v>99</v>
      </c>
      <c r="R47" s="34" t="s">
        <v>105</v>
      </c>
    </row>
    <row r="48" spans="1:22" x14ac:dyDescent="0.3">
      <c r="A48" s="34">
        <v>41</v>
      </c>
      <c r="B48" s="34" t="s">
        <v>97</v>
      </c>
      <c r="C48" s="34">
        <v>2</v>
      </c>
      <c r="D48" s="34">
        <v>2</v>
      </c>
      <c r="E48" s="34">
        <v>6</v>
      </c>
      <c r="F48" s="34">
        <v>4</v>
      </c>
      <c r="G48" s="34" t="s">
        <v>100</v>
      </c>
      <c r="H48" s="34" t="s">
        <v>79</v>
      </c>
      <c r="I48" s="34">
        <v>32</v>
      </c>
      <c r="J48" s="34" t="s">
        <v>79</v>
      </c>
      <c r="K48" s="34">
        <v>28</v>
      </c>
      <c r="L48" s="34" t="b">
        <v>0</v>
      </c>
      <c r="M48" s="34">
        <v>21</v>
      </c>
      <c r="N48" s="34" t="s">
        <v>101</v>
      </c>
      <c r="Q48" s="34">
        <v>55</v>
      </c>
      <c r="R48" s="34" t="s">
        <v>105</v>
      </c>
      <c r="S48" s="34">
        <v>3</v>
      </c>
      <c r="T48" s="34" t="s">
        <v>105</v>
      </c>
    </row>
    <row r="49" spans="1:21" x14ac:dyDescent="0.3">
      <c r="A49" s="34">
        <v>42</v>
      </c>
      <c r="B49" s="34" t="s">
        <v>97</v>
      </c>
      <c r="C49" s="34">
        <v>2</v>
      </c>
      <c r="D49" s="34">
        <v>3</v>
      </c>
      <c r="E49" s="34">
        <v>2</v>
      </c>
      <c r="F49" s="34">
        <v>0</v>
      </c>
      <c r="G49" s="34" t="s">
        <v>120</v>
      </c>
      <c r="H49" s="34" t="s">
        <v>79</v>
      </c>
      <c r="I49" s="34">
        <v>28</v>
      </c>
      <c r="J49" s="34" t="s">
        <v>79</v>
      </c>
      <c r="K49" s="34">
        <v>28</v>
      </c>
      <c r="L49" s="34" t="b">
        <v>0</v>
      </c>
      <c r="M49" s="34">
        <v>0</v>
      </c>
      <c r="N49" s="34" t="s">
        <v>103</v>
      </c>
      <c r="O49" s="34">
        <v>2</v>
      </c>
      <c r="P49" s="34" t="s">
        <v>104</v>
      </c>
    </row>
    <row r="50" spans="1:21" x14ac:dyDescent="0.3">
      <c r="A50" s="34">
        <v>43</v>
      </c>
      <c r="B50" s="34" t="s">
        <v>97</v>
      </c>
      <c r="C50" s="34">
        <v>2</v>
      </c>
      <c r="D50" s="34">
        <v>4</v>
      </c>
      <c r="E50" s="34">
        <v>2</v>
      </c>
      <c r="F50" s="34">
        <v>0</v>
      </c>
      <c r="G50" s="34" t="s">
        <v>120</v>
      </c>
      <c r="H50" s="34" t="s">
        <v>79</v>
      </c>
      <c r="I50" s="34">
        <v>28</v>
      </c>
      <c r="J50" s="34" t="s">
        <v>79</v>
      </c>
      <c r="K50" s="34">
        <v>28</v>
      </c>
      <c r="L50" s="34" t="b">
        <v>0</v>
      </c>
      <c r="M50" s="34">
        <v>4</v>
      </c>
      <c r="N50" s="34" t="s">
        <v>103</v>
      </c>
      <c r="O50" s="34">
        <v>2</v>
      </c>
      <c r="P50" s="34" t="s">
        <v>104</v>
      </c>
      <c r="Q50" s="34">
        <v>2</v>
      </c>
      <c r="R50" s="34" t="s">
        <v>99</v>
      </c>
    </row>
    <row r="51" spans="1:21" x14ac:dyDescent="0.3">
      <c r="A51" s="34">
        <v>43</v>
      </c>
      <c r="B51" s="34" t="s">
        <v>97</v>
      </c>
      <c r="C51" s="34">
        <v>2</v>
      </c>
      <c r="F51" s="34">
        <v>0</v>
      </c>
      <c r="G51" s="34" t="s">
        <v>106</v>
      </c>
      <c r="I51" s="34">
        <v>4</v>
      </c>
      <c r="L51" s="34" t="b">
        <v>0</v>
      </c>
      <c r="U51" s="34" t="s">
        <v>119</v>
      </c>
    </row>
    <row r="52" spans="1:21" x14ac:dyDescent="0.3">
      <c r="A52" s="34">
        <v>44</v>
      </c>
      <c r="B52" s="34" t="s">
        <v>97</v>
      </c>
      <c r="C52" s="34">
        <v>2</v>
      </c>
      <c r="D52" s="34">
        <v>1</v>
      </c>
      <c r="E52" s="34">
        <v>10</v>
      </c>
      <c r="F52" s="34">
        <v>3</v>
      </c>
      <c r="G52" s="34" t="s">
        <v>100</v>
      </c>
      <c r="H52" s="34" t="s">
        <v>79</v>
      </c>
      <c r="I52" s="34">
        <v>24</v>
      </c>
      <c r="J52" s="34" t="s">
        <v>79</v>
      </c>
      <c r="K52" s="34">
        <v>21</v>
      </c>
      <c r="L52" s="34" t="b">
        <v>0</v>
      </c>
      <c r="M52" s="34">
        <v>21</v>
      </c>
      <c r="N52" s="34" t="s">
        <v>101</v>
      </c>
      <c r="Q52" s="34">
        <v>55</v>
      </c>
      <c r="R52" s="34" t="s">
        <v>105</v>
      </c>
      <c r="S52" s="34">
        <v>95</v>
      </c>
      <c r="T52" s="34" t="s">
        <v>115</v>
      </c>
    </row>
    <row r="53" spans="1:21" x14ac:dyDescent="0.3">
      <c r="A53" s="34">
        <v>45</v>
      </c>
      <c r="B53" s="34" t="s">
        <v>97</v>
      </c>
      <c r="C53" s="34">
        <v>2</v>
      </c>
      <c r="D53" s="34">
        <v>2</v>
      </c>
      <c r="E53" s="34">
        <v>7</v>
      </c>
      <c r="F53" s="34">
        <v>15</v>
      </c>
      <c r="G53" s="34" t="s">
        <v>100</v>
      </c>
      <c r="H53" s="34" t="s">
        <v>79</v>
      </c>
      <c r="I53" s="34">
        <v>21</v>
      </c>
      <c r="J53" s="34" t="s">
        <v>79</v>
      </c>
      <c r="K53" s="34">
        <v>6</v>
      </c>
      <c r="L53" s="34" t="b">
        <v>0</v>
      </c>
      <c r="M53" s="34">
        <v>21</v>
      </c>
      <c r="N53" s="34" t="s">
        <v>101</v>
      </c>
      <c r="Q53" s="34">
        <v>2</v>
      </c>
      <c r="R53" s="34" t="s">
        <v>99</v>
      </c>
      <c r="S53" s="34">
        <v>0</v>
      </c>
      <c r="T53" s="34" t="s">
        <v>99</v>
      </c>
    </row>
    <row r="54" spans="1:21" x14ac:dyDescent="0.3">
      <c r="A54" s="34">
        <v>46</v>
      </c>
      <c r="B54" s="34" t="s">
        <v>97</v>
      </c>
      <c r="C54" s="34">
        <v>2</v>
      </c>
      <c r="D54" s="34">
        <v>1</v>
      </c>
      <c r="E54" s="34">
        <v>10</v>
      </c>
      <c r="F54" s="34">
        <v>6</v>
      </c>
      <c r="G54" s="34" t="s">
        <v>100</v>
      </c>
      <c r="H54" s="34" t="s">
        <v>79</v>
      </c>
      <c r="I54" s="34">
        <v>6</v>
      </c>
      <c r="J54" s="34" t="s">
        <v>79</v>
      </c>
      <c r="K54" s="34">
        <v>0</v>
      </c>
      <c r="L54" s="34" t="b">
        <v>0</v>
      </c>
      <c r="M54" s="34">
        <v>2</v>
      </c>
      <c r="N54" s="34" t="s">
        <v>104</v>
      </c>
      <c r="U54" s="34" t="s">
        <v>109</v>
      </c>
    </row>
    <row r="55" spans="1:21" x14ac:dyDescent="0.3">
      <c r="A55" s="34">
        <v>47</v>
      </c>
      <c r="B55" s="34" t="s">
        <v>97</v>
      </c>
      <c r="C55" s="34">
        <v>2</v>
      </c>
      <c r="F55" s="34">
        <v>0</v>
      </c>
      <c r="G55" s="34" t="s">
        <v>110</v>
      </c>
      <c r="L55" s="34" t="b">
        <v>1</v>
      </c>
      <c r="M55" s="34">
        <v>8</v>
      </c>
      <c r="N55" s="34" t="s">
        <v>96</v>
      </c>
      <c r="U55" s="34" t="s">
        <v>111</v>
      </c>
    </row>
    <row r="56" spans="1:21" x14ac:dyDescent="0.3">
      <c r="A56" s="34">
        <v>48</v>
      </c>
      <c r="B56" s="34" t="s">
        <v>97</v>
      </c>
      <c r="C56" s="34">
        <v>2</v>
      </c>
      <c r="F56" s="34">
        <v>56</v>
      </c>
      <c r="G56" s="34" t="s">
        <v>95</v>
      </c>
      <c r="H56" s="34" t="s">
        <v>78</v>
      </c>
      <c r="I56" s="34">
        <v>35</v>
      </c>
      <c r="J56" s="34" t="s">
        <v>79</v>
      </c>
      <c r="K56" s="34">
        <v>9</v>
      </c>
      <c r="L56" s="34" t="b">
        <v>1</v>
      </c>
      <c r="M56" s="34">
        <v>8</v>
      </c>
      <c r="N56" s="34" t="s">
        <v>96</v>
      </c>
    </row>
    <row r="57" spans="1:21" x14ac:dyDescent="0.3">
      <c r="A57" s="34">
        <v>48</v>
      </c>
      <c r="B57" s="34" t="s">
        <v>94</v>
      </c>
      <c r="C57" s="34">
        <v>2</v>
      </c>
      <c r="F57" s="34">
        <v>19</v>
      </c>
      <c r="G57" s="34" t="s">
        <v>98</v>
      </c>
      <c r="H57" s="34" t="s">
        <v>78</v>
      </c>
      <c r="I57" s="34">
        <v>9</v>
      </c>
      <c r="J57" s="34" t="s">
        <v>78</v>
      </c>
      <c r="K57" s="34">
        <v>28</v>
      </c>
      <c r="L57" s="34" t="b">
        <v>0</v>
      </c>
      <c r="M57" s="34">
        <v>0</v>
      </c>
      <c r="N57" s="34" t="s">
        <v>99</v>
      </c>
      <c r="U57" s="34" t="s">
        <v>95</v>
      </c>
    </row>
    <row r="58" spans="1:21" x14ac:dyDescent="0.3">
      <c r="A58" s="34">
        <v>49</v>
      </c>
      <c r="B58" s="34" t="s">
        <v>94</v>
      </c>
      <c r="C58" s="34">
        <v>2</v>
      </c>
      <c r="D58" s="34">
        <v>1</v>
      </c>
      <c r="E58" s="34">
        <v>10</v>
      </c>
      <c r="F58" s="34">
        <v>10</v>
      </c>
      <c r="G58" s="34" t="s">
        <v>102</v>
      </c>
      <c r="H58" s="34" t="s">
        <v>78</v>
      </c>
      <c r="I58" s="34">
        <v>28</v>
      </c>
      <c r="J58" s="34" t="s">
        <v>78</v>
      </c>
      <c r="K58" s="34">
        <v>38</v>
      </c>
      <c r="L58" s="34" t="b">
        <v>0</v>
      </c>
      <c r="M58" s="34">
        <v>10</v>
      </c>
      <c r="N58" s="34" t="s">
        <v>103</v>
      </c>
      <c r="O58" s="34">
        <v>9</v>
      </c>
      <c r="P58" s="34" t="s">
        <v>104</v>
      </c>
      <c r="Q58" s="34">
        <v>10</v>
      </c>
      <c r="R58" s="34" t="s">
        <v>99</v>
      </c>
      <c r="U58" s="34" t="s">
        <v>112</v>
      </c>
    </row>
    <row r="59" spans="1:21" x14ac:dyDescent="0.3">
      <c r="A59" s="34">
        <v>49</v>
      </c>
      <c r="B59" s="34" t="s">
        <v>94</v>
      </c>
      <c r="C59" s="34">
        <v>2</v>
      </c>
      <c r="D59" s="34">
        <v>1</v>
      </c>
      <c r="E59" s="34">
        <v>10</v>
      </c>
      <c r="F59" s="34">
        <v>2</v>
      </c>
      <c r="G59" s="34" t="s">
        <v>102</v>
      </c>
      <c r="H59" s="34" t="s">
        <v>78</v>
      </c>
      <c r="I59" s="34">
        <v>38</v>
      </c>
      <c r="J59" s="34" t="s">
        <v>78</v>
      </c>
      <c r="K59" s="34">
        <v>40</v>
      </c>
      <c r="L59" s="34" t="b">
        <v>0</v>
      </c>
      <c r="M59" s="34">
        <v>10</v>
      </c>
      <c r="N59" s="34" t="s">
        <v>103</v>
      </c>
      <c r="O59" s="34">
        <v>9</v>
      </c>
      <c r="P59" s="34" t="s">
        <v>104</v>
      </c>
      <c r="Q59" s="34">
        <v>10</v>
      </c>
      <c r="R59" s="34" t="s">
        <v>99</v>
      </c>
      <c r="U59" s="34" t="s">
        <v>133</v>
      </c>
    </row>
    <row r="60" spans="1:21" x14ac:dyDescent="0.3">
      <c r="A60" s="34">
        <v>50</v>
      </c>
      <c r="B60" s="34" t="s">
        <v>94</v>
      </c>
      <c r="C60" s="34">
        <v>2</v>
      </c>
      <c r="D60" s="34">
        <v>1</v>
      </c>
      <c r="E60" s="34">
        <v>10</v>
      </c>
      <c r="F60" s="34">
        <v>0</v>
      </c>
      <c r="G60" s="34" t="s">
        <v>120</v>
      </c>
      <c r="H60" s="34" t="s">
        <v>78</v>
      </c>
      <c r="I60" s="34">
        <v>40</v>
      </c>
      <c r="J60" s="34" t="s">
        <v>78</v>
      </c>
      <c r="K60" s="34">
        <v>40</v>
      </c>
      <c r="L60" s="34" t="b">
        <v>0</v>
      </c>
      <c r="M60" s="34">
        <v>28</v>
      </c>
      <c r="N60" s="34" t="s">
        <v>103</v>
      </c>
      <c r="O60" s="34">
        <v>9</v>
      </c>
      <c r="P60" s="34" t="s">
        <v>104</v>
      </c>
      <c r="Q60" s="34">
        <v>10</v>
      </c>
      <c r="R60" s="34" t="s">
        <v>99</v>
      </c>
    </row>
    <row r="61" spans="1:21" x14ac:dyDescent="0.3">
      <c r="A61" s="34">
        <v>51</v>
      </c>
      <c r="B61" s="34" t="s">
        <v>94</v>
      </c>
      <c r="C61" s="34">
        <v>2</v>
      </c>
      <c r="D61" s="34">
        <v>2</v>
      </c>
      <c r="E61" s="34">
        <v>10</v>
      </c>
      <c r="F61" s="34">
        <v>7</v>
      </c>
      <c r="G61" s="34" t="s">
        <v>100</v>
      </c>
      <c r="H61" s="34" t="s">
        <v>78</v>
      </c>
      <c r="I61" s="34">
        <v>40</v>
      </c>
      <c r="J61" s="34" t="s">
        <v>78</v>
      </c>
      <c r="K61" s="34">
        <v>47</v>
      </c>
      <c r="L61" s="34" t="b">
        <v>0</v>
      </c>
      <c r="M61" s="34">
        <v>9</v>
      </c>
      <c r="N61" s="34" t="s">
        <v>104</v>
      </c>
      <c r="Q61" s="34">
        <v>24</v>
      </c>
      <c r="R61" s="34" t="s">
        <v>99</v>
      </c>
    </row>
    <row r="62" spans="1:21" x14ac:dyDescent="0.3">
      <c r="A62" s="34">
        <v>52</v>
      </c>
      <c r="B62" s="34" t="s">
        <v>94</v>
      </c>
      <c r="C62" s="34">
        <v>2</v>
      </c>
      <c r="D62" s="34">
        <v>3</v>
      </c>
      <c r="E62" s="34">
        <v>3</v>
      </c>
      <c r="F62" s="34">
        <v>0</v>
      </c>
      <c r="G62" s="34" t="s">
        <v>120</v>
      </c>
      <c r="H62" s="34" t="s">
        <v>78</v>
      </c>
      <c r="I62" s="34">
        <v>47</v>
      </c>
      <c r="J62" s="34" t="s">
        <v>78</v>
      </c>
      <c r="K62" s="34">
        <v>47</v>
      </c>
      <c r="L62" s="34" t="b">
        <v>0</v>
      </c>
      <c r="M62" s="34">
        <v>23</v>
      </c>
      <c r="N62" s="34" t="s">
        <v>103</v>
      </c>
      <c r="O62" s="34">
        <v>9</v>
      </c>
      <c r="P62" s="34" t="s">
        <v>104</v>
      </c>
    </row>
    <row r="63" spans="1:21" x14ac:dyDescent="0.3">
      <c r="A63" s="34">
        <v>53</v>
      </c>
      <c r="B63" s="34" t="s">
        <v>94</v>
      </c>
      <c r="C63" s="34">
        <v>2</v>
      </c>
      <c r="F63" s="34">
        <v>0</v>
      </c>
      <c r="G63" s="34" t="s">
        <v>106</v>
      </c>
      <c r="I63" s="34">
        <v>5</v>
      </c>
      <c r="L63" s="34" t="b">
        <v>0</v>
      </c>
      <c r="U63" s="34" t="s">
        <v>107</v>
      </c>
    </row>
    <row r="64" spans="1:21" x14ac:dyDescent="0.3">
      <c r="A64" s="34">
        <v>54</v>
      </c>
      <c r="B64" s="34" t="s">
        <v>94</v>
      </c>
      <c r="C64" s="34">
        <v>2</v>
      </c>
      <c r="D64" s="34">
        <v>1</v>
      </c>
      <c r="E64" s="34">
        <v>10</v>
      </c>
      <c r="F64" s="34">
        <v>0</v>
      </c>
      <c r="G64" s="34" t="s">
        <v>120</v>
      </c>
      <c r="H64" s="34" t="s">
        <v>79</v>
      </c>
      <c r="I64" s="34">
        <v>48</v>
      </c>
      <c r="J64" s="34" t="s">
        <v>79</v>
      </c>
      <c r="K64" s="34">
        <v>48</v>
      </c>
      <c r="L64" s="34" t="b">
        <v>0</v>
      </c>
      <c r="M64" s="34">
        <v>7</v>
      </c>
      <c r="N64" s="34" t="s">
        <v>103</v>
      </c>
      <c r="O64" s="34">
        <v>9</v>
      </c>
      <c r="P64" s="34" t="s">
        <v>104</v>
      </c>
    </row>
    <row r="65" spans="1:22" x14ac:dyDescent="0.3">
      <c r="A65" s="34">
        <v>55</v>
      </c>
      <c r="B65" s="34" t="s">
        <v>94</v>
      </c>
      <c r="C65" s="34">
        <v>2</v>
      </c>
      <c r="D65" s="34">
        <v>2</v>
      </c>
      <c r="E65" s="34">
        <v>10</v>
      </c>
      <c r="F65" s="34">
        <v>0</v>
      </c>
      <c r="G65" s="34" t="s">
        <v>120</v>
      </c>
      <c r="H65" s="34" t="s">
        <v>79</v>
      </c>
      <c r="I65" s="34">
        <v>48</v>
      </c>
      <c r="J65" s="34" t="s">
        <v>79</v>
      </c>
      <c r="K65" s="34">
        <v>48</v>
      </c>
      <c r="L65" s="34" t="b">
        <v>0</v>
      </c>
      <c r="M65" s="34">
        <v>28</v>
      </c>
      <c r="N65" s="34" t="s">
        <v>103</v>
      </c>
      <c r="O65" s="34">
        <v>9</v>
      </c>
      <c r="P65" s="34" t="s">
        <v>104</v>
      </c>
      <c r="Q65" s="34">
        <v>10</v>
      </c>
      <c r="R65" s="34" t="s">
        <v>99</v>
      </c>
    </row>
    <row r="66" spans="1:22" x14ac:dyDescent="0.3">
      <c r="A66" s="34">
        <v>56</v>
      </c>
      <c r="B66" s="34" t="s">
        <v>94</v>
      </c>
      <c r="C66" s="34">
        <v>2</v>
      </c>
      <c r="F66" s="34">
        <v>0</v>
      </c>
      <c r="G66" s="34" t="s">
        <v>106</v>
      </c>
      <c r="I66" s="34">
        <v>15</v>
      </c>
      <c r="L66" s="34" t="b">
        <v>0</v>
      </c>
      <c r="U66" s="34" t="s">
        <v>119</v>
      </c>
    </row>
    <row r="67" spans="1:22" x14ac:dyDescent="0.3">
      <c r="A67" s="34">
        <v>57</v>
      </c>
      <c r="B67" s="34" t="s">
        <v>94</v>
      </c>
      <c r="C67" s="34">
        <v>2</v>
      </c>
      <c r="D67" s="34">
        <v>3</v>
      </c>
      <c r="E67" s="34">
        <v>25</v>
      </c>
      <c r="F67" s="34">
        <v>-1</v>
      </c>
      <c r="G67" s="34" t="s">
        <v>100</v>
      </c>
      <c r="H67" s="34" t="s">
        <v>78</v>
      </c>
      <c r="I67" s="34">
        <v>37</v>
      </c>
      <c r="J67" s="34" t="s">
        <v>78</v>
      </c>
      <c r="K67" s="34">
        <v>36</v>
      </c>
      <c r="L67" s="34" t="b">
        <v>0</v>
      </c>
      <c r="M67" s="34">
        <v>9</v>
      </c>
      <c r="N67" s="34" t="s">
        <v>104</v>
      </c>
      <c r="Q67" s="34">
        <v>44</v>
      </c>
      <c r="R67" s="34" t="s">
        <v>105</v>
      </c>
      <c r="U67" s="34" t="s">
        <v>116</v>
      </c>
    </row>
    <row r="68" spans="1:22" x14ac:dyDescent="0.3">
      <c r="A68" s="34">
        <v>58</v>
      </c>
      <c r="B68" s="34" t="s">
        <v>94</v>
      </c>
      <c r="C68" s="34">
        <v>2</v>
      </c>
      <c r="D68" s="34">
        <v>4</v>
      </c>
      <c r="E68" s="34">
        <v>25</v>
      </c>
      <c r="F68" s="34">
        <v>43</v>
      </c>
      <c r="G68" s="34" t="s">
        <v>121</v>
      </c>
      <c r="H68" s="34" t="s">
        <v>78</v>
      </c>
      <c r="I68" s="34">
        <v>36</v>
      </c>
      <c r="J68" s="34" t="s">
        <v>79</v>
      </c>
      <c r="K68" s="34">
        <v>21</v>
      </c>
      <c r="L68" s="34" t="b">
        <v>1</v>
      </c>
      <c r="M68" s="34">
        <v>16</v>
      </c>
      <c r="N68" s="34" t="s">
        <v>122</v>
      </c>
    </row>
    <row r="69" spans="1:22" x14ac:dyDescent="0.3">
      <c r="A69" s="34">
        <v>59</v>
      </c>
      <c r="B69" s="34" t="s">
        <v>97</v>
      </c>
      <c r="C69" s="34">
        <v>2</v>
      </c>
      <c r="D69" s="34">
        <v>1</v>
      </c>
      <c r="E69" s="34">
        <v>10</v>
      </c>
      <c r="F69" s="34">
        <v>3</v>
      </c>
      <c r="G69" s="34" t="s">
        <v>100</v>
      </c>
      <c r="H69" s="34" t="s">
        <v>78</v>
      </c>
      <c r="I69" s="34">
        <v>21</v>
      </c>
      <c r="J69" s="34" t="s">
        <v>78</v>
      </c>
      <c r="K69" s="34">
        <v>24</v>
      </c>
      <c r="L69" s="34" t="b">
        <v>0</v>
      </c>
      <c r="M69" s="34">
        <v>28</v>
      </c>
      <c r="N69" s="34" t="s">
        <v>101</v>
      </c>
      <c r="Q69" s="34">
        <v>1</v>
      </c>
      <c r="R69" s="34" t="s">
        <v>99</v>
      </c>
    </row>
    <row r="70" spans="1:22" x14ac:dyDescent="0.3">
      <c r="A70" s="34">
        <v>60</v>
      </c>
      <c r="B70" s="34" t="s">
        <v>97</v>
      </c>
      <c r="C70" s="34">
        <v>2</v>
      </c>
      <c r="D70" s="34">
        <v>2</v>
      </c>
      <c r="E70" s="34">
        <v>7</v>
      </c>
      <c r="F70" s="34">
        <v>9</v>
      </c>
      <c r="G70" s="34" t="s">
        <v>102</v>
      </c>
      <c r="H70" s="34" t="s">
        <v>78</v>
      </c>
      <c r="I70" s="34">
        <v>24</v>
      </c>
      <c r="J70" s="34" t="s">
        <v>78</v>
      </c>
      <c r="K70" s="34">
        <v>33</v>
      </c>
      <c r="L70" s="34" t="b">
        <v>0</v>
      </c>
      <c r="M70" s="34">
        <v>0</v>
      </c>
      <c r="N70" s="34" t="s">
        <v>103</v>
      </c>
      <c r="O70" s="34">
        <v>2</v>
      </c>
      <c r="P70" s="34" t="s">
        <v>104</v>
      </c>
      <c r="Q70" s="34">
        <v>3</v>
      </c>
      <c r="R70" s="34" t="s">
        <v>105</v>
      </c>
    </row>
    <row r="71" spans="1:22" x14ac:dyDescent="0.3">
      <c r="A71" s="34">
        <v>61</v>
      </c>
      <c r="B71" s="34" t="s">
        <v>97</v>
      </c>
      <c r="C71" s="34">
        <v>2</v>
      </c>
      <c r="D71" s="34">
        <v>1</v>
      </c>
      <c r="E71" s="34">
        <v>10</v>
      </c>
      <c r="F71" s="34">
        <v>-2</v>
      </c>
      <c r="G71" s="34" t="s">
        <v>100</v>
      </c>
      <c r="H71" s="34" t="s">
        <v>78</v>
      </c>
      <c r="I71" s="34">
        <v>33</v>
      </c>
      <c r="J71" s="34" t="s">
        <v>78</v>
      </c>
      <c r="K71" s="34">
        <v>31</v>
      </c>
      <c r="L71" s="34" t="b">
        <v>0</v>
      </c>
      <c r="M71" s="34">
        <v>4</v>
      </c>
      <c r="N71" s="34" t="s">
        <v>103</v>
      </c>
      <c r="Q71" s="34">
        <v>56</v>
      </c>
      <c r="R71" s="34" t="s">
        <v>115</v>
      </c>
      <c r="U71" s="34" t="s">
        <v>116</v>
      </c>
    </row>
    <row r="72" spans="1:22" x14ac:dyDescent="0.3">
      <c r="A72" s="34">
        <v>61</v>
      </c>
      <c r="B72" s="34" t="s">
        <v>97</v>
      </c>
      <c r="C72" s="34">
        <v>2</v>
      </c>
      <c r="F72" s="34">
        <v>0</v>
      </c>
      <c r="G72" s="34" t="s">
        <v>106</v>
      </c>
      <c r="I72" s="34">
        <v>15</v>
      </c>
      <c r="L72" s="34" t="b">
        <v>0</v>
      </c>
      <c r="U72" s="34" t="s">
        <v>119</v>
      </c>
    </row>
    <row r="73" spans="1:22" x14ac:dyDescent="0.3">
      <c r="A73" s="34">
        <v>62</v>
      </c>
      <c r="B73" s="34" t="s">
        <v>97</v>
      </c>
      <c r="C73" s="34">
        <v>2</v>
      </c>
      <c r="D73" s="34">
        <v>1</v>
      </c>
      <c r="E73" s="34">
        <v>10</v>
      </c>
      <c r="F73" s="34">
        <v>0</v>
      </c>
      <c r="G73" s="34" t="s">
        <v>120</v>
      </c>
      <c r="H73" s="34" t="s">
        <v>78</v>
      </c>
      <c r="I73" s="34">
        <v>46</v>
      </c>
      <c r="J73" s="34" t="s">
        <v>78</v>
      </c>
      <c r="K73" s="34">
        <v>46</v>
      </c>
      <c r="L73" s="34" t="b">
        <v>0</v>
      </c>
      <c r="M73" s="34">
        <v>28</v>
      </c>
      <c r="N73" s="34" t="s">
        <v>101</v>
      </c>
      <c r="O73" s="34">
        <v>2</v>
      </c>
      <c r="P73" s="34" t="s">
        <v>104</v>
      </c>
    </row>
    <row r="74" spans="1:22" x14ac:dyDescent="0.3">
      <c r="A74" s="34">
        <v>63</v>
      </c>
      <c r="B74" s="34" t="s">
        <v>97</v>
      </c>
      <c r="C74" s="34">
        <v>2</v>
      </c>
      <c r="D74" s="34">
        <v>2</v>
      </c>
      <c r="E74" s="34">
        <v>10</v>
      </c>
      <c r="F74" s="34">
        <v>10</v>
      </c>
      <c r="G74" s="34" t="s">
        <v>102</v>
      </c>
      <c r="H74" s="34" t="s">
        <v>78</v>
      </c>
      <c r="I74" s="34">
        <v>46</v>
      </c>
      <c r="J74" s="34" t="s">
        <v>79</v>
      </c>
      <c r="K74" s="34">
        <v>44</v>
      </c>
      <c r="L74" s="34" t="b">
        <v>0</v>
      </c>
      <c r="M74" s="34">
        <v>21</v>
      </c>
      <c r="N74" s="34" t="s">
        <v>103</v>
      </c>
      <c r="O74" s="34">
        <v>2</v>
      </c>
      <c r="P74" s="34" t="s">
        <v>104</v>
      </c>
      <c r="Q74" s="34">
        <v>0</v>
      </c>
      <c r="R74" s="34" t="s">
        <v>99</v>
      </c>
    </row>
    <row r="75" spans="1:22" x14ac:dyDescent="0.3">
      <c r="A75" s="34">
        <v>64</v>
      </c>
      <c r="B75" s="34" t="s">
        <v>97</v>
      </c>
      <c r="C75" s="34">
        <v>2</v>
      </c>
      <c r="D75" s="34">
        <v>3</v>
      </c>
      <c r="E75" s="34">
        <v>1</v>
      </c>
      <c r="F75" s="34">
        <v>33</v>
      </c>
      <c r="G75" s="34" t="s">
        <v>102</v>
      </c>
      <c r="H75" s="34" t="s">
        <v>79</v>
      </c>
      <c r="I75" s="34">
        <v>44</v>
      </c>
      <c r="J75" s="34" t="s">
        <v>79</v>
      </c>
      <c r="K75" s="34">
        <v>11</v>
      </c>
      <c r="L75" s="34" t="b">
        <v>0</v>
      </c>
      <c r="M75" s="34">
        <v>8</v>
      </c>
      <c r="N75" s="34" t="s">
        <v>103</v>
      </c>
      <c r="O75" s="34">
        <v>2</v>
      </c>
      <c r="P75" s="34" t="s">
        <v>104</v>
      </c>
      <c r="Q75" s="34">
        <v>1</v>
      </c>
      <c r="R75" s="34" t="s">
        <v>99</v>
      </c>
    </row>
    <row r="76" spans="1:22" x14ac:dyDescent="0.3">
      <c r="A76" s="34">
        <v>65</v>
      </c>
      <c r="B76" s="34" t="s">
        <v>97</v>
      </c>
      <c r="C76" s="34">
        <v>2</v>
      </c>
      <c r="F76" s="34">
        <v>0</v>
      </c>
      <c r="G76" s="34" t="s">
        <v>106</v>
      </c>
      <c r="I76" s="34">
        <v>10</v>
      </c>
      <c r="L76" s="34" t="b">
        <v>0</v>
      </c>
      <c r="U76" s="34" t="s">
        <v>107</v>
      </c>
    </row>
    <row r="77" spans="1:22" x14ac:dyDescent="0.3">
      <c r="A77" s="34">
        <v>66</v>
      </c>
      <c r="B77" s="34" t="s">
        <v>94</v>
      </c>
      <c r="C77" s="34">
        <v>3</v>
      </c>
      <c r="F77" s="34">
        <v>46</v>
      </c>
      <c r="G77" s="34" t="s">
        <v>95</v>
      </c>
      <c r="H77" s="34" t="s">
        <v>78</v>
      </c>
      <c r="I77" s="34">
        <v>35</v>
      </c>
      <c r="J77" s="34" t="s">
        <v>79</v>
      </c>
      <c r="K77" s="34">
        <v>19</v>
      </c>
      <c r="L77" s="34" t="b">
        <v>1</v>
      </c>
      <c r="M77" s="34">
        <v>16</v>
      </c>
      <c r="N77" s="34" t="s">
        <v>96</v>
      </c>
    </row>
    <row r="78" spans="1:22" x14ac:dyDescent="0.3">
      <c r="A78" s="34">
        <v>66</v>
      </c>
      <c r="B78" s="34" t="s">
        <v>97</v>
      </c>
      <c r="C78" s="34">
        <v>3</v>
      </c>
      <c r="F78" s="34">
        <v>18</v>
      </c>
      <c r="G78" s="34" t="s">
        <v>98</v>
      </c>
      <c r="H78" s="34" t="s">
        <v>78</v>
      </c>
      <c r="I78" s="34">
        <v>19</v>
      </c>
      <c r="J78" s="34" t="s">
        <v>78</v>
      </c>
      <c r="K78" s="34">
        <v>37</v>
      </c>
      <c r="L78" s="34" t="b">
        <v>0</v>
      </c>
      <c r="M78" s="34">
        <v>24</v>
      </c>
      <c r="N78" s="34" t="s">
        <v>99</v>
      </c>
      <c r="U78" s="34" t="s">
        <v>95</v>
      </c>
    </row>
    <row r="79" spans="1:22" x14ac:dyDescent="0.3">
      <c r="A79" s="34">
        <v>67</v>
      </c>
      <c r="B79" s="34" t="s">
        <v>97</v>
      </c>
      <c r="C79" s="34">
        <v>3</v>
      </c>
      <c r="D79" s="34">
        <v>1</v>
      </c>
      <c r="E79" s="34">
        <v>10</v>
      </c>
      <c r="F79" s="34">
        <v>10</v>
      </c>
      <c r="G79" s="34" t="s">
        <v>100</v>
      </c>
      <c r="H79" s="34" t="s">
        <v>78</v>
      </c>
      <c r="I79" s="34">
        <v>37</v>
      </c>
      <c r="J79" s="34" t="s">
        <v>78</v>
      </c>
      <c r="K79" s="34">
        <v>47</v>
      </c>
      <c r="L79" s="34" t="b">
        <v>0</v>
      </c>
      <c r="M79" s="34">
        <v>2</v>
      </c>
      <c r="N79" s="34" t="s">
        <v>104</v>
      </c>
      <c r="Q79" s="34">
        <v>3</v>
      </c>
      <c r="R79" s="34" t="s">
        <v>105</v>
      </c>
    </row>
    <row r="80" spans="1:22" x14ac:dyDescent="0.3">
      <c r="A80" s="34">
        <v>68</v>
      </c>
      <c r="B80" s="34" t="s">
        <v>97</v>
      </c>
      <c r="C80" s="34">
        <v>3</v>
      </c>
      <c r="D80" s="34">
        <v>2</v>
      </c>
      <c r="E80" s="34">
        <v>1</v>
      </c>
      <c r="F80" s="34">
        <v>-2</v>
      </c>
      <c r="G80" s="34" t="s">
        <v>100</v>
      </c>
      <c r="H80" s="34" t="s">
        <v>78</v>
      </c>
      <c r="I80" s="34">
        <v>47</v>
      </c>
      <c r="J80" s="34" t="s">
        <v>78</v>
      </c>
      <c r="K80" s="34">
        <v>45</v>
      </c>
      <c r="L80" s="34" t="b">
        <v>0</v>
      </c>
      <c r="M80" s="34">
        <v>2</v>
      </c>
      <c r="N80" s="34" t="s">
        <v>104</v>
      </c>
      <c r="Q80" s="34">
        <v>55</v>
      </c>
      <c r="R80" s="34" t="s">
        <v>105</v>
      </c>
      <c r="U80" s="34" t="s">
        <v>112</v>
      </c>
      <c r="V80" s="34" t="s">
        <v>113</v>
      </c>
    </row>
    <row r="81" spans="1:22" x14ac:dyDescent="0.3">
      <c r="A81" s="34">
        <v>68</v>
      </c>
      <c r="B81" s="34" t="s">
        <v>97</v>
      </c>
      <c r="C81" s="34">
        <v>3</v>
      </c>
      <c r="D81" s="34">
        <v>2</v>
      </c>
      <c r="E81" s="34">
        <v>1</v>
      </c>
      <c r="F81" s="34">
        <v>0</v>
      </c>
      <c r="G81" s="34" t="s">
        <v>98</v>
      </c>
      <c r="H81" s="34" t="s">
        <v>78</v>
      </c>
      <c r="I81" s="34">
        <v>45</v>
      </c>
      <c r="J81" s="34" t="s">
        <v>78</v>
      </c>
      <c r="K81" s="34">
        <v>45</v>
      </c>
      <c r="L81" s="34" t="b">
        <v>0</v>
      </c>
      <c r="M81" s="34">
        <v>2</v>
      </c>
      <c r="N81" s="34" t="s">
        <v>104</v>
      </c>
      <c r="Q81" s="34">
        <v>55</v>
      </c>
      <c r="R81" s="34" t="s">
        <v>105</v>
      </c>
      <c r="U81" s="34" t="s">
        <v>113</v>
      </c>
      <c r="V81" s="34" t="s">
        <v>114</v>
      </c>
    </row>
    <row r="82" spans="1:22" x14ac:dyDescent="0.3">
      <c r="A82" s="34">
        <v>69</v>
      </c>
      <c r="B82" s="34" t="s">
        <v>94</v>
      </c>
      <c r="C82" s="34">
        <v>3</v>
      </c>
      <c r="D82" s="34">
        <v>1</v>
      </c>
      <c r="E82" s="34">
        <v>10</v>
      </c>
      <c r="F82" s="34">
        <v>15</v>
      </c>
      <c r="G82" s="34" t="s">
        <v>102</v>
      </c>
      <c r="H82" s="34" t="s">
        <v>79</v>
      </c>
      <c r="I82" s="34">
        <v>45</v>
      </c>
      <c r="J82" s="34" t="s">
        <v>79</v>
      </c>
      <c r="K82" s="34">
        <v>30</v>
      </c>
      <c r="L82" s="34" t="b">
        <v>0</v>
      </c>
      <c r="M82" s="34">
        <v>7</v>
      </c>
      <c r="N82" s="34" t="s">
        <v>103</v>
      </c>
      <c r="O82" s="34">
        <v>15</v>
      </c>
      <c r="P82" s="34" t="s">
        <v>104</v>
      </c>
      <c r="Q82" s="34">
        <v>24</v>
      </c>
      <c r="R82" s="34" t="s">
        <v>99</v>
      </c>
      <c r="S82" s="34">
        <v>13</v>
      </c>
      <c r="T82" s="34" t="s">
        <v>105</v>
      </c>
    </row>
    <row r="83" spans="1:22" x14ac:dyDescent="0.3">
      <c r="A83" s="34">
        <v>70</v>
      </c>
      <c r="B83" s="34" t="s">
        <v>94</v>
      </c>
      <c r="C83" s="34">
        <v>3</v>
      </c>
      <c r="D83" s="34">
        <v>1</v>
      </c>
      <c r="E83" s="34">
        <v>10</v>
      </c>
      <c r="F83" s="34">
        <v>13</v>
      </c>
      <c r="G83" s="34" t="s">
        <v>100</v>
      </c>
      <c r="H83" s="34" t="s">
        <v>79</v>
      </c>
      <c r="I83" s="34">
        <v>30</v>
      </c>
      <c r="J83" s="34" t="s">
        <v>79</v>
      </c>
      <c r="K83" s="34">
        <v>17</v>
      </c>
      <c r="L83" s="34" t="b">
        <v>0</v>
      </c>
      <c r="M83" s="34">
        <v>32</v>
      </c>
      <c r="N83" s="34" t="s">
        <v>101</v>
      </c>
      <c r="Q83" s="34">
        <v>36</v>
      </c>
      <c r="R83" s="34" t="s">
        <v>105</v>
      </c>
    </row>
    <row r="84" spans="1:22" x14ac:dyDescent="0.3">
      <c r="A84" s="34">
        <v>71</v>
      </c>
      <c r="B84" s="34" t="s">
        <v>94</v>
      </c>
      <c r="C84" s="34">
        <v>3</v>
      </c>
      <c r="D84" s="34">
        <v>1</v>
      </c>
      <c r="E84" s="34">
        <v>10</v>
      </c>
      <c r="F84" s="34">
        <v>-14</v>
      </c>
      <c r="G84" s="34" t="s">
        <v>125</v>
      </c>
      <c r="H84" s="34" t="s">
        <v>79</v>
      </c>
      <c r="I84" s="34">
        <v>17</v>
      </c>
      <c r="J84" s="34" t="s">
        <v>79</v>
      </c>
      <c r="K84" s="34">
        <v>31</v>
      </c>
      <c r="L84" s="34" t="b">
        <v>0</v>
      </c>
      <c r="M84" s="34">
        <v>15</v>
      </c>
      <c r="N84" s="34" t="s">
        <v>104</v>
      </c>
      <c r="O84" s="34">
        <v>67</v>
      </c>
      <c r="P84" s="34" t="s">
        <v>62</v>
      </c>
      <c r="Q84" s="34">
        <v>36</v>
      </c>
      <c r="R84" s="34" t="s">
        <v>105</v>
      </c>
      <c r="U84" s="34" t="s">
        <v>125</v>
      </c>
      <c r="V84" s="34" t="s">
        <v>116</v>
      </c>
    </row>
    <row r="85" spans="1:22" x14ac:dyDescent="0.3">
      <c r="A85" s="34">
        <v>72</v>
      </c>
      <c r="B85" s="34" t="s">
        <v>94</v>
      </c>
      <c r="C85" s="34">
        <v>3</v>
      </c>
      <c r="D85" s="34">
        <v>2</v>
      </c>
      <c r="E85" s="34">
        <v>24</v>
      </c>
      <c r="F85" s="34">
        <v>0</v>
      </c>
      <c r="G85" s="34" t="s">
        <v>120</v>
      </c>
      <c r="H85" s="34" t="s">
        <v>79</v>
      </c>
      <c r="I85" s="34">
        <v>31</v>
      </c>
      <c r="J85" s="34" t="s">
        <v>79</v>
      </c>
      <c r="K85" s="34">
        <v>31</v>
      </c>
      <c r="L85" s="34" t="b">
        <v>0</v>
      </c>
      <c r="M85" s="34">
        <v>7</v>
      </c>
      <c r="N85" s="34" t="s">
        <v>103</v>
      </c>
      <c r="O85" s="34">
        <v>15</v>
      </c>
      <c r="P85" s="34" t="s">
        <v>104</v>
      </c>
      <c r="Q85" s="34">
        <v>4</v>
      </c>
      <c r="R85" s="34" t="s">
        <v>99</v>
      </c>
      <c r="U85" s="34" t="s">
        <v>123</v>
      </c>
    </row>
    <row r="86" spans="1:22" x14ac:dyDescent="0.3">
      <c r="A86" s="34">
        <v>72</v>
      </c>
      <c r="B86" s="34" t="s">
        <v>94</v>
      </c>
      <c r="C86" s="34">
        <v>3</v>
      </c>
      <c r="D86" s="34">
        <v>2</v>
      </c>
      <c r="E86" s="34">
        <v>24</v>
      </c>
      <c r="F86" s="34">
        <v>0</v>
      </c>
      <c r="G86" s="34" t="s">
        <v>98</v>
      </c>
      <c r="H86" s="34" t="s">
        <v>79</v>
      </c>
      <c r="I86" s="34">
        <v>8</v>
      </c>
      <c r="J86" s="34" t="s">
        <v>79</v>
      </c>
      <c r="K86" s="34">
        <v>8</v>
      </c>
      <c r="L86" s="34" t="b">
        <v>0</v>
      </c>
      <c r="M86" s="34">
        <v>7</v>
      </c>
      <c r="N86" s="34" t="s">
        <v>103</v>
      </c>
      <c r="O86" s="34">
        <v>15</v>
      </c>
      <c r="P86" s="34" t="s">
        <v>104</v>
      </c>
      <c r="Q86" s="34">
        <v>4</v>
      </c>
      <c r="R86" s="34" t="s">
        <v>99</v>
      </c>
      <c r="U86" s="34" t="s">
        <v>114</v>
      </c>
    </row>
    <row r="87" spans="1:22" x14ac:dyDescent="0.3">
      <c r="A87" s="34">
        <v>73</v>
      </c>
      <c r="B87" s="34" t="s">
        <v>97</v>
      </c>
      <c r="C87" s="34">
        <v>3</v>
      </c>
      <c r="D87" s="34">
        <v>1</v>
      </c>
      <c r="E87" s="34">
        <v>10</v>
      </c>
      <c r="F87" s="34">
        <v>7</v>
      </c>
      <c r="G87" s="34" t="s">
        <v>100</v>
      </c>
      <c r="H87" s="34" t="s">
        <v>78</v>
      </c>
      <c r="I87" s="34">
        <v>8</v>
      </c>
      <c r="J87" s="34" t="s">
        <v>78</v>
      </c>
      <c r="K87" s="34">
        <v>15</v>
      </c>
      <c r="L87" s="34" t="b">
        <v>0</v>
      </c>
      <c r="M87" s="34">
        <v>28</v>
      </c>
      <c r="N87" s="34" t="s">
        <v>101</v>
      </c>
      <c r="Q87" s="34">
        <v>96</v>
      </c>
      <c r="R87" s="34" t="s">
        <v>115</v>
      </c>
      <c r="U87" s="34" t="s">
        <v>112</v>
      </c>
      <c r="V87" s="34" t="s">
        <v>113</v>
      </c>
    </row>
    <row r="88" spans="1:22" x14ac:dyDescent="0.3">
      <c r="A88" s="34">
        <v>73</v>
      </c>
      <c r="B88" s="34" t="s">
        <v>97</v>
      </c>
      <c r="C88" s="34">
        <v>3</v>
      </c>
      <c r="D88" s="34">
        <v>1</v>
      </c>
      <c r="E88" s="34">
        <v>10</v>
      </c>
      <c r="F88" s="34">
        <v>-2</v>
      </c>
      <c r="G88" s="34" t="s">
        <v>98</v>
      </c>
      <c r="H88" s="34" t="s">
        <v>78</v>
      </c>
      <c r="I88" s="34">
        <v>15</v>
      </c>
      <c r="J88" s="34" t="s">
        <v>78</v>
      </c>
      <c r="K88" s="34">
        <v>13</v>
      </c>
      <c r="L88" s="34" t="b">
        <v>0</v>
      </c>
      <c r="M88" s="34">
        <v>28</v>
      </c>
      <c r="N88" s="34" t="s">
        <v>101</v>
      </c>
      <c r="Q88" s="34">
        <v>3</v>
      </c>
      <c r="R88" s="34" t="s">
        <v>105</v>
      </c>
      <c r="U88" s="34" t="s">
        <v>113</v>
      </c>
      <c r="V88" s="34" t="s">
        <v>114</v>
      </c>
    </row>
    <row r="89" spans="1:22" x14ac:dyDescent="0.3">
      <c r="A89" s="34">
        <v>74</v>
      </c>
      <c r="B89" s="34" t="s">
        <v>94</v>
      </c>
      <c r="C89" s="34">
        <v>3</v>
      </c>
      <c r="F89" s="34">
        <v>0</v>
      </c>
      <c r="G89" s="34" t="s">
        <v>106</v>
      </c>
      <c r="I89" s="34">
        <v>5</v>
      </c>
      <c r="L89" s="34" t="b">
        <v>0</v>
      </c>
      <c r="U89" s="34" t="s">
        <v>107</v>
      </c>
    </row>
    <row r="90" spans="1:22" x14ac:dyDescent="0.3">
      <c r="A90" s="34">
        <v>75</v>
      </c>
      <c r="B90" s="34" t="s">
        <v>94</v>
      </c>
      <c r="C90" s="34">
        <v>3</v>
      </c>
      <c r="D90" s="34">
        <v>1</v>
      </c>
      <c r="E90" s="34">
        <v>5</v>
      </c>
      <c r="F90" s="34">
        <v>0</v>
      </c>
      <c r="G90" s="34" t="s">
        <v>120</v>
      </c>
      <c r="H90" s="34" t="s">
        <v>79</v>
      </c>
      <c r="I90" s="34">
        <v>8</v>
      </c>
      <c r="J90" s="34" t="s">
        <v>79</v>
      </c>
      <c r="K90" s="34">
        <v>8</v>
      </c>
      <c r="L90" s="34" t="b">
        <v>0</v>
      </c>
      <c r="M90" s="34">
        <v>10</v>
      </c>
      <c r="N90" s="34" t="s">
        <v>103</v>
      </c>
      <c r="O90" s="34">
        <v>9</v>
      </c>
      <c r="P90" s="34" t="s">
        <v>104</v>
      </c>
    </row>
    <row r="91" spans="1:22" x14ac:dyDescent="0.3">
      <c r="A91" s="34">
        <v>76</v>
      </c>
      <c r="B91" s="34" t="s">
        <v>94</v>
      </c>
      <c r="C91" s="34">
        <v>3</v>
      </c>
      <c r="D91" s="34">
        <v>2</v>
      </c>
      <c r="E91" s="34">
        <v>5</v>
      </c>
      <c r="F91" s="34">
        <v>0</v>
      </c>
      <c r="G91" s="34" t="s">
        <v>120</v>
      </c>
      <c r="H91" s="34" t="s">
        <v>79</v>
      </c>
      <c r="I91" s="34">
        <v>8</v>
      </c>
      <c r="J91" s="34" t="s">
        <v>79</v>
      </c>
      <c r="K91" s="34">
        <v>8</v>
      </c>
      <c r="L91" s="34" t="b">
        <v>0</v>
      </c>
      <c r="M91" s="34">
        <v>10</v>
      </c>
      <c r="N91" s="34" t="s">
        <v>103</v>
      </c>
      <c r="O91" s="34">
        <v>9</v>
      </c>
      <c r="P91" s="34" t="s">
        <v>104</v>
      </c>
      <c r="Q91" s="34">
        <v>24</v>
      </c>
      <c r="R91" s="34" t="s">
        <v>99</v>
      </c>
    </row>
    <row r="92" spans="1:22" x14ac:dyDescent="0.3">
      <c r="A92" s="34">
        <v>77</v>
      </c>
      <c r="B92" s="34" t="s">
        <v>94</v>
      </c>
      <c r="C92" s="34">
        <v>3</v>
      </c>
      <c r="D92" s="34">
        <v>3</v>
      </c>
      <c r="E92" s="34">
        <v>5</v>
      </c>
      <c r="F92" s="34">
        <v>0</v>
      </c>
      <c r="G92" s="34" t="s">
        <v>120</v>
      </c>
      <c r="H92" s="34" t="s">
        <v>79</v>
      </c>
      <c r="I92" s="34">
        <v>8</v>
      </c>
      <c r="J92" s="34" t="s">
        <v>79</v>
      </c>
      <c r="K92" s="34">
        <v>8</v>
      </c>
      <c r="L92" s="34" t="b">
        <v>0</v>
      </c>
      <c r="M92" s="34">
        <v>10</v>
      </c>
      <c r="N92" s="34" t="s">
        <v>103</v>
      </c>
      <c r="O92" s="34">
        <v>9</v>
      </c>
      <c r="P92" s="34" t="s">
        <v>104</v>
      </c>
      <c r="Q92" s="34">
        <v>10</v>
      </c>
      <c r="R92" s="34" t="s">
        <v>99</v>
      </c>
    </row>
    <row r="93" spans="1:22" x14ac:dyDescent="0.3">
      <c r="A93" s="34">
        <v>78</v>
      </c>
      <c r="B93" s="34" t="s">
        <v>94</v>
      </c>
      <c r="C93" s="34">
        <v>3</v>
      </c>
      <c r="D93" s="34">
        <v>4</v>
      </c>
      <c r="E93" s="34">
        <v>5</v>
      </c>
      <c r="F93" s="34">
        <v>0</v>
      </c>
      <c r="G93" s="34" t="s">
        <v>120</v>
      </c>
      <c r="H93" s="34" t="s">
        <v>79</v>
      </c>
      <c r="I93" s="34">
        <v>8</v>
      </c>
      <c r="J93" s="34" t="s">
        <v>79</v>
      </c>
      <c r="K93" s="34">
        <v>8</v>
      </c>
      <c r="L93" s="34" t="b">
        <v>0</v>
      </c>
      <c r="M93" s="34">
        <v>23</v>
      </c>
      <c r="N93" s="34" t="s">
        <v>103</v>
      </c>
      <c r="O93" s="34">
        <v>9</v>
      </c>
      <c r="P93" s="34" t="s">
        <v>104</v>
      </c>
      <c r="Q93" s="34">
        <v>24</v>
      </c>
      <c r="R93" s="34" t="s">
        <v>99</v>
      </c>
    </row>
    <row r="94" spans="1:22" x14ac:dyDescent="0.3">
      <c r="A94" s="34">
        <v>79</v>
      </c>
      <c r="B94" s="34" t="s">
        <v>97</v>
      </c>
      <c r="C94" s="34">
        <v>3</v>
      </c>
      <c r="D94" s="34">
        <v>1</v>
      </c>
      <c r="E94" s="34">
        <v>10</v>
      </c>
      <c r="F94" s="34">
        <v>2</v>
      </c>
      <c r="G94" s="34" t="s">
        <v>100</v>
      </c>
      <c r="H94" s="34" t="s">
        <v>78</v>
      </c>
      <c r="I94" s="34">
        <v>8</v>
      </c>
      <c r="J94" s="34" t="s">
        <v>78</v>
      </c>
      <c r="K94" s="34">
        <v>10</v>
      </c>
      <c r="L94" s="34" t="b">
        <v>0</v>
      </c>
      <c r="M94" s="34">
        <v>21</v>
      </c>
      <c r="N94" s="34" t="s">
        <v>101</v>
      </c>
      <c r="Q94" s="34">
        <v>3</v>
      </c>
      <c r="R94" s="34" t="s">
        <v>105</v>
      </c>
    </row>
    <row r="95" spans="1:22" x14ac:dyDescent="0.3">
      <c r="A95" s="34">
        <v>80</v>
      </c>
      <c r="B95" s="34" t="s">
        <v>97</v>
      </c>
      <c r="C95" s="34">
        <v>3</v>
      </c>
      <c r="D95" s="34">
        <v>2</v>
      </c>
      <c r="E95" s="34">
        <v>8</v>
      </c>
      <c r="F95" s="34">
        <v>5</v>
      </c>
      <c r="G95" s="34" t="s">
        <v>100</v>
      </c>
      <c r="H95" s="34" t="s">
        <v>78</v>
      </c>
      <c r="I95" s="34">
        <v>10</v>
      </c>
      <c r="J95" s="34" t="s">
        <v>78</v>
      </c>
      <c r="K95" s="34">
        <v>15</v>
      </c>
      <c r="L95" s="34" t="b">
        <v>0</v>
      </c>
      <c r="M95" s="34">
        <v>21</v>
      </c>
      <c r="N95" s="34" t="s">
        <v>101</v>
      </c>
      <c r="Q95" s="34">
        <v>39</v>
      </c>
      <c r="R95" s="34" t="s">
        <v>105</v>
      </c>
    </row>
    <row r="96" spans="1:22" x14ac:dyDescent="0.3">
      <c r="A96" s="34">
        <v>81</v>
      </c>
      <c r="B96" s="34" t="s">
        <v>97</v>
      </c>
      <c r="C96" s="34">
        <v>3</v>
      </c>
      <c r="D96" s="34">
        <v>3</v>
      </c>
      <c r="E96" s="34">
        <v>3</v>
      </c>
      <c r="F96" s="34">
        <v>11</v>
      </c>
      <c r="G96" s="34" t="s">
        <v>100</v>
      </c>
      <c r="H96" s="34" t="s">
        <v>78</v>
      </c>
      <c r="I96" s="34">
        <v>15</v>
      </c>
      <c r="J96" s="34" t="s">
        <v>78</v>
      </c>
      <c r="K96" s="34">
        <v>26</v>
      </c>
      <c r="L96" s="34" t="b">
        <v>0</v>
      </c>
      <c r="M96" s="34">
        <v>21</v>
      </c>
      <c r="N96" s="34" t="s">
        <v>101</v>
      </c>
      <c r="Q96" s="34">
        <v>1</v>
      </c>
      <c r="R96" s="34" t="s">
        <v>99</v>
      </c>
    </row>
    <row r="97" spans="1:22" x14ac:dyDescent="0.3">
      <c r="A97" s="34">
        <v>82</v>
      </c>
      <c r="B97" s="34" t="s">
        <v>97</v>
      </c>
      <c r="C97" s="34">
        <v>3</v>
      </c>
      <c r="D97" s="34">
        <v>1</v>
      </c>
      <c r="E97" s="34">
        <v>10</v>
      </c>
      <c r="F97" s="34">
        <v>27</v>
      </c>
      <c r="G97" s="34" t="s">
        <v>102</v>
      </c>
      <c r="H97" s="34" t="s">
        <v>78</v>
      </c>
      <c r="I97" s="34">
        <v>26</v>
      </c>
      <c r="J97" s="34" t="s">
        <v>79</v>
      </c>
      <c r="K97" s="34">
        <v>47</v>
      </c>
      <c r="L97" s="34" t="b">
        <v>0</v>
      </c>
      <c r="M97" s="34">
        <v>8</v>
      </c>
      <c r="N97" s="34" t="s">
        <v>103</v>
      </c>
      <c r="O97" s="34">
        <v>2</v>
      </c>
      <c r="P97" s="34" t="s">
        <v>104</v>
      </c>
      <c r="Q97" s="34">
        <v>12</v>
      </c>
      <c r="R97" s="34" t="s">
        <v>99</v>
      </c>
    </row>
    <row r="98" spans="1:22" x14ac:dyDescent="0.3">
      <c r="A98" s="34">
        <v>83</v>
      </c>
      <c r="B98" s="34" t="s">
        <v>97</v>
      </c>
      <c r="C98" s="34">
        <v>3</v>
      </c>
      <c r="D98" s="34">
        <v>1</v>
      </c>
      <c r="E98" s="34">
        <v>10</v>
      </c>
      <c r="F98" s="34">
        <v>13</v>
      </c>
      <c r="G98" s="34" t="s">
        <v>102</v>
      </c>
      <c r="H98" s="34" t="s">
        <v>79</v>
      </c>
      <c r="I98" s="34">
        <v>47</v>
      </c>
      <c r="J98" s="34" t="s">
        <v>79</v>
      </c>
      <c r="K98" s="34">
        <v>34</v>
      </c>
      <c r="L98" s="34" t="b">
        <v>0</v>
      </c>
      <c r="M98" s="34">
        <v>8</v>
      </c>
      <c r="N98" s="34" t="s">
        <v>103</v>
      </c>
      <c r="O98" s="34">
        <v>2</v>
      </c>
      <c r="P98" s="34" t="s">
        <v>104</v>
      </c>
      <c r="Q98" s="34">
        <v>0</v>
      </c>
      <c r="R98" s="34" t="s">
        <v>99</v>
      </c>
    </row>
    <row r="99" spans="1:22" x14ac:dyDescent="0.3">
      <c r="A99" s="34">
        <v>84</v>
      </c>
      <c r="B99" s="34" t="s">
        <v>97</v>
      </c>
      <c r="C99" s="34">
        <v>3</v>
      </c>
      <c r="D99" s="34">
        <v>1</v>
      </c>
      <c r="E99" s="34">
        <v>10</v>
      </c>
      <c r="F99" s="34">
        <v>0</v>
      </c>
      <c r="G99" s="34" t="s">
        <v>120</v>
      </c>
      <c r="H99" s="34" t="s">
        <v>79</v>
      </c>
      <c r="I99" s="34">
        <v>34</v>
      </c>
      <c r="J99" s="34" t="s">
        <v>79</v>
      </c>
      <c r="K99" s="34">
        <v>34</v>
      </c>
      <c r="L99" s="34" t="b">
        <v>0</v>
      </c>
      <c r="M99" s="34">
        <v>0</v>
      </c>
      <c r="N99" s="34" t="s">
        <v>103</v>
      </c>
      <c r="O99" s="34">
        <v>2</v>
      </c>
      <c r="P99" s="34" t="s">
        <v>104</v>
      </c>
      <c r="Q99" s="34">
        <v>2</v>
      </c>
      <c r="R99" s="34" t="s">
        <v>99</v>
      </c>
      <c r="S99" s="34">
        <v>1</v>
      </c>
      <c r="T99" s="34" t="s">
        <v>99</v>
      </c>
    </row>
    <row r="100" spans="1:22" x14ac:dyDescent="0.3">
      <c r="A100" s="34">
        <v>85</v>
      </c>
      <c r="B100" s="34" t="s">
        <v>97</v>
      </c>
      <c r="C100" s="34">
        <v>3</v>
      </c>
      <c r="D100" s="34">
        <v>2</v>
      </c>
      <c r="E100" s="34">
        <v>10</v>
      </c>
      <c r="F100" s="34">
        <v>-11</v>
      </c>
      <c r="G100" s="34" t="s">
        <v>100</v>
      </c>
      <c r="H100" s="34" t="s">
        <v>79</v>
      </c>
      <c r="I100" s="34">
        <v>34</v>
      </c>
      <c r="J100" s="34" t="s">
        <v>79</v>
      </c>
      <c r="K100" s="34">
        <v>45</v>
      </c>
      <c r="L100" s="34" t="b">
        <v>0</v>
      </c>
      <c r="M100" s="34">
        <v>2</v>
      </c>
      <c r="N100" s="34" t="s">
        <v>104</v>
      </c>
      <c r="U100" s="34" t="s">
        <v>112</v>
      </c>
    </row>
    <row r="101" spans="1:22" x14ac:dyDescent="0.3">
      <c r="A101" s="34">
        <v>85</v>
      </c>
      <c r="B101" s="34" t="s">
        <v>97</v>
      </c>
      <c r="C101" s="34">
        <v>3</v>
      </c>
      <c r="D101" s="34">
        <v>2</v>
      </c>
      <c r="E101" s="34">
        <v>10</v>
      </c>
      <c r="F101" s="34">
        <v>0</v>
      </c>
      <c r="G101" s="34" t="s">
        <v>100</v>
      </c>
      <c r="H101" s="34" t="s">
        <v>79</v>
      </c>
      <c r="I101" s="34">
        <v>45</v>
      </c>
      <c r="J101" s="34" t="s">
        <v>79</v>
      </c>
      <c r="K101" s="34">
        <v>45</v>
      </c>
      <c r="L101" s="34" t="b">
        <v>0</v>
      </c>
      <c r="M101" s="34">
        <v>2</v>
      </c>
      <c r="N101" s="34" t="s">
        <v>104</v>
      </c>
      <c r="U101" s="34" t="s">
        <v>133</v>
      </c>
    </row>
    <row r="102" spans="1:22" x14ac:dyDescent="0.3">
      <c r="A102" s="34">
        <v>86</v>
      </c>
      <c r="B102" s="34" t="s">
        <v>97</v>
      </c>
      <c r="C102" s="34">
        <v>3</v>
      </c>
      <c r="D102" s="34">
        <v>3</v>
      </c>
      <c r="E102" s="34">
        <v>21</v>
      </c>
      <c r="F102" s="34">
        <v>16</v>
      </c>
      <c r="G102" s="34" t="s">
        <v>100</v>
      </c>
      <c r="H102" s="34" t="s">
        <v>79</v>
      </c>
      <c r="I102" s="34">
        <v>45</v>
      </c>
      <c r="J102" s="34" t="s">
        <v>79</v>
      </c>
      <c r="K102" s="34">
        <v>29</v>
      </c>
      <c r="L102" s="34" t="b">
        <v>0</v>
      </c>
      <c r="M102" s="34">
        <v>2</v>
      </c>
      <c r="N102" s="34" t="s">
        <v>104</v>
      </c>
      <c r="Q102" s="34">
        <v>1</v>
      </c>
      <c r="R102" s="34" t="s">
        <v>99</v>
      </c>
      <c r="S102" s="34">
        <v>12</v>
      </c>
      <c r="T102" s="34" t="s">
        <v>99</v>
      </c>
    </row>
    <row r="103" spans="1:22" x14ac:dyDescent="0.3">
      <c r="A103" s="34">
        <v>87</v>
      </c>
      <c r="B103" s="34" t="s">
        <v>97</v>
      </c>
      <c r="C103" s="34">
        <v>3</v>
      </c>
      <c r="D103" s="34">
        <v>4</v>
      </c>
      <c r="E103" s="34">
        <v>5</v>
      </c>
      <c r="F103" s="34">
        <v>0</v>
      </c>
      <c r="G103" s="34" t="s">
        <v>120</v>
      </c>
      <c r="H103" s="34" t="s">
        <v>79</v>
      </c>
      <c r="I103" s="34">
        <v>29</v>
      </c>
      <c r="J103" s="34" t="s">
        <v>79</v>
      </c>
      <c r="K103" s="34">
        <v>29</v>
      </c>
      <c r="L103" s="34" t="b">
        <v>0</v>
      </c>
      <c r="M103" s="34">
        <v>4</v>
      </c>
      <c r="N103" s="34" t="s">
        <v>103</v>
      </c>
      <c r="O103" s="34">
        <v>2</v>
      </c>
      <c r="P103" s="34" t="s">
        <v>104</v>
      </c>
      <c r="Q103" s="34">
        <v>3</v>
      </c>
      <c r="R103" s="34" t="s">
        <v>105</v>
      </c>
      <c r="U103" s="34" t="s">
        <v>123</v>
      </c>
    </row>
    <row r="104" spans="1:22" x14ac:dyDescent="0.3">
      <c r="A104" s="34">
        <v>87</v>
      </c>
      <c r="B104" s="34" t="s">
        <v>97</v>
      </c>
      <c r="C104" s="34">
        <v>3</v>
      </c>
      <c r="D104" s="34">
        <v>4</v>
      </c>
      <c r="E104" s="34">
        <v>5</v>
      </c>
      <c r="F104" s="34">
        <v>12</v>
      </c>
      <c r="G104" s="34" t="s">
        <v>98</v>
      </c>
      <c r="H104" s="34" t="s">
        <v>79</v>
      </c>
      <c r="I104" s="34">
        <v>29</v>
      </c>
      <c r="J104" s="34" t="s">
        <v>79</v>
      </c>
      <c r="K104" s="34">
        <v>17</v>
      </c>
      <c r="L104" s="34" t="b">
        <v>0</v>
      </c>
      <c r="M104" s="34">
        <v>4</v>
      </c>
      <c r="N104" s="34" t="s">
        <v>103</v>
      </c>
      <c r="O104" s="34">
        <v>2</v>
      </c>
      <c r="P104" s="34" t="s">
        <v>104</v>
      </c>
      <c r="Q104" s="34">
        <v>3</v>
      </c>
      <c r="R104" s="34" t="s">
        <v>105</v>
      </c>
      <c r="U104" s="34" t="s">
        <v>114</v>
      </c>
    </row>
    <row r="105" spans="1:22" x14ac:dyDescent="0.3">
      <c r="A105" s="34">
        <v>88</v>
      </c>
      <c r="B105" s="34" t="s">
        <v>94</v>
      </c>
      <c r="C105" s="34">
        <v>3</v>
      </c>
      <c r="D105" s="34">
        <v>1</v>
      </c>
      <c r="E105" s="34">
        <v>10</v>
      </c>
      <c r="F105" s="34">
        <v>2</v>
      </c>
      <c r="G105" s="34" t="s">
        <v>100</v>
      </c>
      <c r="H105" s="34" t="s">
        <v>78</v>
      </c>
      <c r="I105" s="34">
        <v>17</v>
      </c>
      <c r="J105" s="34" t="s">
        <v>78</v>
      </c>
      <c r="K105" s="34">
        <v>19</v>
      </c>
      <c r="L105" s="34" t="b">
        <v>0</v>
      </c>
      <c r="M105" s="34">
        <v>49</v>
      </c>
      <c r="N105" s="34" t="s">
        <v>101</v>
      </c>
      <c r="Q105" s="34">
        <v>3</v>
      </c>
      <c r="R105" s="34" t="s">
        <v>115</v>
      </c>
      <c r="S105" s="34">
        <v>35</v>
      </c>
      <c r="T105" s="34" t="s">
        <v>105</v>
      </c>
    </row>
    <row r="106" spans="1:22" x14ac:dyDescent="0.3">
      <c r="A106" s="34">
        <v>89</v>
      </c>
      <c r="B106" s="34" t="s">
        <v>94</v>
      </c>
      <c r="C106" s="34">
        <v>3</v>
      </c>
      <c r="D106" s="34">
        <v>2</v>
      </c>
      <c r="E106" s="34">
        <v>8</v>
      </c>
      <c r="F106" s="34">
        <v>20</v>
      </c>
      <c r="G106" s="34" t="s">
        <v>100</v>
      </c>
      <c r="H106" s="34" t="s">
        <v>78</v>
      </c>
      <c r="I106" s="34">
        <v>19</v>
      </c>
      <c r="J106" s="34" t="s">
        <v>78</v>
      </c>
      <c r="K106" s="34">
        <v>39</v>
      </c>
      <c r="L106" s="34" t="b">
        <v>0</v>
      </c>
      <c r="M106" s="34">
        <v>49</v>
      </c>
      <c r="N106" s="34" t="s">
        <v>101</v>
      </c>
      <c r="Q106" s="34">
        <v>24</v>
      </c>
      <c r="R106" s="34" t="s">
        <v>99</v>
      </c>
    </row>
    <row r="107" spans="1:22" x14ac:dyDescent="0.3">
      <c r="A107" s="34">
        <v>89</v>
      </c>
      <c r="B107" s="34" t="s">
        <v>94</v>
      </c>
      <c r="C107" s="34">
        <v>3</v>
      </c>
      <c r="F107" s="34">
        <v>0</v>
      </c>
      <c r="G107" s="34" t="s">
        <v>106</v>
      </c>
      <c r="I107" s="34">
        <v>15</v>
      </c>
      <c r="L107" s="34" t="b">
        <v>0</v>
      </c>
      <c r="U107" s="34" t="s">
        <v>107</v>
      </c>
    </row>
    <row r="108" spans="1:22" x14ac:dyDescent="0.3">
      <c r="A108" s="34">
        <v>90</v>
      </c>
      <c r="B108" s="34" t="s">
        <v>94</v>
      </c>
      <c r="C108" s="34">
        <v>3</v>
      </c>
      <c r="D108" s="34">
        <v>1</v>
      </c>
      <c r="E108" s="34">
        <v>10</v>
      </c>
      <c r="F108" s="34">
        <v>0</v>
      </c>
      <c r="G108" s="34" t="s">
        <v>100</v>
      </c>
      <c r="H108" s="34" t="s">
        <v>79</v>
      </c>
      <c r="I108" s="34">
        <v>46</v>
      </c>
      <c r="J108" s="34" t="s">
        <v>79</v>
      </c>
      <c r="K108" s="34">
        <v>46</v>
      </c>
      <c r="L108" s="34" t="b">
        <v>0</v>
      </c>
      <c r="M108" s="34">
        <v>49</v>
      </c>
      <c r="N108" s="34" t="s">
        <v>101</v>
      </c>
      <c r="Q108" s="34">
        <v>98</v>
      </c>
      <c r="R108" s="34" t="s">
        <v>115</v>
      </c>
    </row>
    <row r="109" spans="1:22" x14ac:dyDescent="0.3">
      <c r="A109" s="34">
        <v>91</v>
      </c>
      <c r="B109" s="34" t="s">
        <v>94</v>
      </c>
      <c r="C109" s="34">
        <v>3</v>
      </c>
      <c r="D109" s="34">
        <v>2</v>
      </c>
      <c r="E109" s="34">
        <v>10</v>
      </c>
      <c r="F109" s="34">
        <v>-2</v>
      </c>
      <c r="G109" s="34" t="s">
        <v>125</v>
      </c>
      <c r="H109" s="34" t="s">
        <v>79</v>
      </c>
      <c r="I109" s="34">
        <v>46</v>
      </c>
      <c r="J109" s="34" t="s">
        <v>79</v>
      </c>
      <c r="K109" s="34">
        <v>48</v>
      </c>
      <c r="L109" s="34" t="b">
        <v>0</v>
      </c>
      <c r="M109" s="34">
        <v>16</v>
      </c>
      <c r="N109" s="34" t="s">
        <v>104</v>
      </c>
      <c r="Q109" s="34">
        <v>3</v>
      </c>
      <c r="R109" s="34" t="s">
        <v>115</v>
      </c>
      <c r="U109" s="34" t="s">
        <v>125</v>
      </c>
      <c r="V109" s="34" t="s">
        <v>116</v>
      </c>
    </row>
    <row r="110" spans="1:22" x14ac:dyDescent="0.3">
      <c r="A110" s="34">
        <v>92</v>
      </c>
      <c r="B110" s="34" t="s">
        <v>94</v>
      </c>
      <c r="C110" s="34">
        <v>3</v>
      </c>
      <c r="D110" s="34">
        <v>3</v>
      </c>
      <c r="E110" s="34">
        <v>12</v>
      </c>
      <c r="F110" s="34">
        <v>0</v>
      </c>
      <c r="G110" s="34" t="s">
        <v>120</v>
      </c>
      <c r="H110" s="34" t="s">
        <v>79</v>
      </c>
      <c r="I110" s="34">
        <v>48</v>
      </c>
      <c r="J110" s="34" t="s">
        <v>79</v>
      </c>
      <c r="K110" s="34">
        <v>48</v>
      </c>
      <c r="L110" s="34" t="b">
        <v>0</v>
      </c>
      <c r="M110" s="34">
        <v>28</v>
      </c>
      <c r="N110" s="34" t="s">
        <v>103</v>
      </c>
      <c r="O110" s="34">
        <v>16</v>
      </c>
      <c r="P110" s="34" t="s">
        <v>104</v>
      </c>
    </row>
    <row r="111" spans="1:22" x14ac:dyDescent="0.3">
      <c r="A111" s="34">
        <v>93</v>
      </c>
      <c r="B111" s="34" t="s">
        <v>94</v>
      </c>
      <c r="C111" s="34">
        <v>3</v>
      </c>
      <c r="D111" s="34">
        <v>4</v>
      </c>
      <c r="E111" s="34">
        <v>12</v>
      </c>
      <c r="F111" s="34">
        <v>28</v>
      </c>
      <c r="G111" s="34" t="s">
        <v>121</v>
      </c>
      <c r="H111" s="34" t="s">
        <v>79</v>
      </c>
      <c r="I111" s="34">
        <v>48</v>
      </c>
      <c r="J111" s="34" t="s">
        <v>79</v>
      </c>
      <c r="K111" s="34">
        <v>20</v>
      </c>
      <c r="L111" s="34" t="b">
        <v>1</v>
      </c>
      <c r="M111" s="34">
        <v>16</v>
      </c>
      <c r="N111" s="34" t="s">
        <v>122</v>
      </c>
    </row>
    <row r="112" spans="1:22" x14ac:dyDescent="0.3">
      <c r="A112" s="34">
        <v>94</v>
      </c>
      <c r="B112" s="34" t="s">
        <v>97</v>
      </c>
      <c r="C112" s="34">
        <v>3</v>
      </c>
      <c r="D112" s="34">
        <v>1</v>
      </c>
      <c r="E112" s="34">
        <v>10</v>
      </c>
      <c r="F112" s="34">
        <v>3</v>
      </c>
      <c r="G112" s="34" t="s">
        <v>100</v>
      </c>
      <c r="H112" s="34" t="s">
        <v>78</v>
      </c>
      <c r="I112" s="34">
        <v>20</v>
      </c>
      <c r="J112" s="34" t="s">
        <v>78</v>
      </c>
      <c r="K112" s="34">
        <v>23</v>
      </c>
      <c r="L112" s="34" t="b">
        <v>0</v>
      </c>
      <c r="M112" s="34">
        <v>28</v>
      </c>
      <c r="N112" s="34" t="s">
        <v>101</v>
      </c>
      <c r="Q112" s="34">
        <v>99</v>
      </c>
      <c r="R112" s="34" t="s">
        <v>105</v>
      </c>
    </row>
    <row r="113" spans="1:22" x14ac:dyDescent="0.3">
      <c r="A113" s="34">
        <v>95</v>
      </c>
      <c r="B113" s="34" t="s">
        <v>97</v>
      </c>
      <c r="C113" s="34">
        <v>4</v>
      </c>
      <c r="D113" s="34">
        <v>2</v>
      </c>
      <c r="E113" s="34">
        <v>7</v>
      </c>
      <c r="F113" s="34">
        <v>0</v>
      </c>
      <c r="G113" s="34" t="s">
        <v>120</v>
      </c>
      <c r="H113" s="34" t="s">
        <v>78</v>
      </c>
      <c r="I113" s="34">
        <v>23</v>
      </c>
      <c r="J113" s="34" t="s">
        <v>78</v>
      </c>
      <c r="K113" s="34">
        <v>23</v>
      </c>
      <c r="L113" s="34" t="b">
        <v>0</v>
      </c>
      <c r="M113" s="34">
        <v>28</v>
      </c>
      <c r="N113" s="34" t="s">
        <v>101</v>
      </c>
      <c r="O113" s="34">
        <v>2</v>
      </c>
      <c r="P113" s="34" t="s">
        <v>104</v>
      </c>
      <c r="Q113" s="34">
        <v>99</v>
      </c>
      <c r="R113" s="34" t="s">
        <v>105</v>
      </c>
    </row>
    <row r="114" spans="1:22" x14ac:dyDescent="0.3">
      <c r="A114" s="34">
        <v>96</v>
      </c>
      <c r="B114" s="34" t="s">
        <v>97</v>
      </c>
      <c r="C114" s="34">
        <v>4</v>
      </c>
      <c r="D114" s="34">
        <v>3</v>
      </c>
      <c r="E114" s="34">
        <v>7</v>
      </c>
      <c r="F114" s="34">
        <v>77</v>
      </c>
      <c r="G114" s="34" t="s">
        <v>102</v>
      </c>
      <c r="H114" s="34" t="s">
        <v>78</v>
      </c>
      <c r="I114" s="34">
        <v>23</v>
      </c>
      <c r="J114" s="34" t="s">
        <v>79</v>
      </c>
      <c r="K114" s="34">
        <v>0</v>
      </c>
      <c r="L114" s="34" t="b">
        <v>0</v>
      </c>
      <c r="M114" s="34">
        <v>8</v>
      </c>
      <c r="N114" s="34" t="s">
        <v>103</v>
      </c>
      <c r="O114" s="34">
        <v>28</v>
      </c>
      <c r="P114" s="34" t="s">
        <v>101</v>
      </c>
      <c r="U114" s="34" t="s">
        <v>109</v>
      </c>
    </row>
    <row r="115" spans="1:22" x14ac:dyDescent="0.3">
      <c r="A115" s="34">
        <v>97</v>
      </c>
      <c r="B115" s="34" t="s">
        <v>97</v>
      </c>
      <c r="C115" s="34">
        <v>4</v>
      </c>
      <c r="F115" s="34">
        <v>0</v>
      </c>
      <c r="G115" s="34" t="s">
        <v>110</v>
      </c>
      <c r="L115" s="34" t="b">
        <v>1</v>
      </c>
      <c r="M115" s="34">
        <v>8</v>
      </c>
      <c r="N115" s="34" t="s">
        <v>96</v>
      </c>
      <c r="U115" s="34" t="s">
        <v>111</v>
      </c>
    </row>
    <row r="116" spans="1:22" x14ac:dyDescent="0.3">
      <c r="A116" s="34">
        <v>98</v>
      </c>
      <c r="B116" s="34" t="s">
        <v>97</v>
      </c>
      <c r="C116" s="34">
        <v>4</v>
      </c>
      <c r="F116" s="34">
        <v>65</v>
      </c>
      <c r="G116" s="34" t="s">
        <v>95</v>
      </c>
      <c r="H116" s="34" t="s">
        <v>78</v>
      </c>
      <c r="I116" s="34">
        <v>35</v>
      </c>
      <c r="J116" s="34" t="s">
        <v>79</v>
      </c>
      <c r="K116" s="34">
        <v>0</v>
      </c>
      <c r="L116" s="34" t="b">
        <v>1</v>
      </c>
      <c r="M116" s="34">
        <v>8</v>
      </c>
      <c r="N116" s="34" t="s">
        <v>96</v>
      </c>
    </row>
    <row r="117" spans="1:22" x14ac:dyDescent="0.3">
      <c r="A117" s="34">
        <v>99</v>
      </c>
      <c r="B117" s="34" t="s">
        <v>94</v>
      </c>
      <c r="C117" s="34">
        <v>4</v>
      </c>
      <c r="D117" s="34">
        <v>1</v>
      </c>
      <c r="E117" s="34">
        <v>10</v>
      </c>
      <c r="F117" s="34">
        <v>0</v>
      </c>
      <c r="G117" s="34" t="s">
        <v>100</v>
      </c>
      <c r="H117" s="34" t="s">
        <v>78</v>
      </c>
      <c r="I117" s="34">
        <v>25</v>
      </c>
      <c r="J117" s="34" t="s">
        <v>78</v>
      </c>
      <c r="K117" s="34">
        <v>25</v>
      </c>
      <c r="L117" s="34" t="b">
        <v>0</v>
      </c>
      <c r="M117" s="34">
        <v>32</v>
      </c>
      <c r="N117" s="34" t="s">
        <v>101</v>
      </c>
      <c r="Q117" s="34">
        <v>3</v>
      </c>
      <c r="R117" s="34" t="s">
        <v>115</v>
      </c>
      <c r="S117" s="34">
        <v>75</v>
      </c>
      <c r="T117" s="34" t="s">
        <v>115</v>
      </c>
    </row>
    <row r="118" spans="1:22" x14ac:dyDescent="0.3">
      <c r="A118" s="34">
        <v>100</v>
      </c>
      <c r="B118" s="34" t="s">
        <v>94</v>
      </c>
      <c r="C118" s="34">
        <v>4</v>
      </c>
      <c r="D118" s="34">
        <v>2</v>
      </c>
      <c r="E118" s="34">
        <v>10</v>
      </c>
      <c r="F118" s="34">
        <v>6</v>
      </c>
      <c r="G118" s="34" t="s">
        <v>100</v>
      </c>
      <c r="H118" s="34" t="s">
        <v>78</v>
      </c>
      <c r="I118" s="34">
        <v>25</v>
      </c>
      <c r="J118" s="34" t="s">
        <v>78</v>
      </c>
      <c r="K118" s="34">
        <v>31</v>
      </c>
      <c r="L118" s="34" t="b">
        <v>0</v>
      </c>
      <c r="M118" s="34">
        <v>32</v>
      </c>
      <c r="N118" s="34" t="s">
        <v>101</v>
      </c>
      <c r="Q118" s="34">
        <v>36</v>
      </c>
      <c r="R118" s="34" t="s">
        <v>105</v>
      </c>
    </row>
    <row r="119" spans="1:22" x14ac:dyDescent="0.3">
      <c r="A119" s="34">
        <v>101</v>
      </c>
      <c r="B119" s="34" t="s">
        <v>94</v>
      </c>
      <c r="C119" s="34">
        <v>4</v>
      </c>
      <c r="D119" s="34">
        <v>3</v>
      </c>
      <c r="E119" s="34">
        <v>4</v>
      </c>
      <c r="F119" s="34">
        <v>0</v>
      </c>
      <c r="G119" s="34" t="s">
        <v>120</v>
      </c>
      <c r="H119" s="34" t="s">
        <v>78</v>
      </c>
      <c r="I119" s="34">
        <v>31</v>
      </c>
      <c r="J119" s="34" t="s">
        <v>78</v>
      </c>
      <c r="K119" s="34">
        <v>31</v>
      </c>
      <c r="L119" s="34" t="b">
        <v>0</v>
      </c>
      <c r="M119" s="34">
        <v>23</v>
      </c>
      <c r="N119" s="34" t="s">
        <v>103</v>
      </c>
      <c r="O119" s="34">
        <v>9</v>
      </c>
      <c r="P119" s="34" t="s">
        <v>104</v>
      </c>
      <c r="Q119" s="34">
        <v>36</v>
      </c>
      <c r="R119" s="34" t="s">
        <v>105</v>
      </c>
    </row>
    <row r="120" spans="1:22" x14ac:dyDescent="0.3">
      <c r="A120" s="34">
        <v>102</v>
      </c>
      <c r="B120" s="34" t="s">
        <v>94</v>
      </c>
      <c r="C120" s="34">
        <v>4</v>
      </c>
      <c r="D120" s="34">
        <v>4</v>
      </c>
      <c r="E120" s="34">
        <v>4</v>
      </c>
      <c r="F120" s="34">
        <v>44</v>
      </c>
      <c r="G120" s="34" t="s">
        <v>121</v>
      </c>
      <c r="H120" s="34" t="s">
        <v>78</v>
      </c>
      <c r="I120" s="34">
        <v>31</v>
      </c>
      <c r="J120" s="34" t="s">
        <v>79</v>
      </c>
      <c r="K120" s="34">
        <v>25</v>
      </c>
      <c r="L120" s="34" t="b">
        <v>1</v>
      </c>
      <c r="M120" s="34">
        <v>16</v>
      </c>
      <c r="N120" s="34" t="s">
        <v>122</v>
      </c>
    </row>
    <row r="121" spans="1:22" x14ac:dyDescent="0.3">
      <c r="A121" s="34">
        <v>103</v>
      </c>
      <c r="B121" s="34" t="s">
        <v>97</v>
      </c>
      <c r="C121" s="34">
        <v>4</v>
      </c>
      <c r="F121" s="34">
        <v>0</v>
      </c>
      <c r="G121" s="34" t="s">
        <v>106</v>
      </c>
      <c r="I121" s="34">
        <v>2</v>
      </c>
      <c r="L121" s="34" t="b">
        <v>0</v>
      </c>
      <c r="U121" s="34" t="s">
        <v>107</v>
      </c>
    </row>
    <row r="122" spans="1:22" x14ac:dyDescent="0.3">
      <c r="A122" s="34">
        <v>104</v>
      </c>
      <c r="B122" s="34" t="s">
        <v>97</v>
      </c>
      <c r="C122" s="34">
        <v>4</v>
      </c>
      <c r="D122" s="34">
        <v>1</v>
      </c>
      <c r="E122" s="34">
        <v>12</v>
      </c>
      <c r="F122" s="34">
        <v>12</v>
      </c>
      <c r="G122" s="34" t="s">
        <v>100</v>
      </c>
      <c r="H122" s="34" t="s">
        <v>78</v>
      </c>
      <c r="I122" s="34">
        <v>23</v>
      </c>
      <c r="J122" s="34" t="s">
        <v>78</v>
      </c>
      <c r="K122" s="34">
        <v>35</v>
      </c>
      <c r="L122" s="34" t="b">
        <v>0</v>
      </c>
      <c r="M122" s="34">
        <v>28</v>
      </c>
      <c r="N122" s="34" t="s">
        <v>101</v>
      </c>
      <c r="Q122" s="34">
        <v>1</v>
      </c>
      <c r="R122" s="34" t="s">
        <v>99</v>
      </c>
    </row>
    <row r="123" spans="1:22" x14ac:dyDescent="0.3">
      <c r="A123" s="34">
        <v>105</v>
      </c>
      <c r="B123" s="34" t="s">
        <v>97</v>
      </c>
      <c r="C123" s="34">
        <v>4</v>
      </c>
      <c r="D123" s="34">
        <v>1</v>
      </c>
      <c r="E123" s="34">
        <v>10</v>
      </c>
      <c r="F123" s="34">
        <v>9</v>
      </c>
      <c r="G123" s="34" t="s">
        <v>100</v>
      </c>
      <c r="H123" s="34" t="s">
        <v>78</v>
      </c>
      <c r="I123" s="34">
        <v>35</v>
      </c>
      <c r="J123" s="34" t="s">
        <v>78</v>
      </c>
      <c r="K123" s="34">
        <v>44</v>
      </c>
      <c r="L123" s="34" t="b">
        <v>0</v>
      </c>
      <c r="M123" s="34">
        <v>28</v>
      </c>
      <c r="N123" s="34" t="s">
        <v>101</v>
      </c>
      <c r="Q123" s="34">
        <v>1</v>
      </c>
      <c r="R123" s="34" t="s">
        <v>99</v>
      </c>
    </row>
    <row r="124" spans="1:22" x14ac:dyDescent="0.3">
      <c r="A124" s="34">
        <v>106</v>
      </c>
      <c r="B124" s="34" t="s">
        <v>97</v>
      </c>
      <c r="C124" s="34">
        <v>4</v>
      </c>
      <c r="D124" s="34">
        <v>2</v>
      </c>
      <c r="E124" s="34">
        <v>1</v>
      </c>
      <c r="F124" s="34">
        <v>15</v>
      </c>
      <c r="G124" s="34" t="s">
        <v>100</v>
      </c>
      <c r="H124" s="34" t="s">
        <v>78</v>
      </c>
      <c r="I124" s="34">
        <v>44</v>
      </c>
      <c r="J124" s="34" t="s">
        <v>79</v>
      </c>
      <c r="K124" s="34">
        <v>41</v>
      </c>
      <c r="L124" s="34" t="b">
        <v>0</v>
      </c>
      <c r="M124" s="34">
        <v>28</v>
      </c>
      <c r="N124" s="34" t="s">
        <v>101</v>
      </c>
      <c r="Q124" s="34">
        <v>2</v>
      </c>
      <c r="R124" s="34" t="s">
        <v>99</v>
      </c>
    </row>
    <row r="125" spans="1:22" x14ac:dyDescent="0.3">
      <c r="A125" s="34">
        <v>107</v>
      </c>
      <c r="B125" s="34" t="s">
        <v>97</v>
      </c>
      <c r="C125" s="34">
        <v>4</v>
      </c>
      <c r="D125" s="34">
        <v>1</v>
      </c>
      <c r="E125" s="34">
        <v>10</v>
      </c>
      <c r="F125" s="34">
        <v>4</v>
      </c>
      <c r="G125" s="34" t="s">
        <v>100</v>
      </c>
      <c r="H125" s="34" t="s">
        <v>79</v>
      </c>
      <c r="I125" s="34">
        <v>41</v>
      </c>
      <c r="J125" s="34" t="s">
        <v>79</v>
      </c>
      <c r="K125" s="34">
        <v>37</v>
      </c>
      <c r="L125" s="34" t="b">
        <v>0</v>
      </c>
      <c r="M125" s="34">
        <v>21</v>
      </c>
      <c r="N125" s="34" t="s">
        <v>101</v>
      </c>
      <c r="Q125" s="34">
        <v>3</v>
      </c>
      <c r="R125" s="34" t="s">
        <v>105</v>
      </c>
    </row>
    <row r="126" spans="1:22" x14ac:dyDescent="0.3">
      <c r="A126" s="34">
        <v>108</v>
      </c>
      <c r="B126" s="34" t="s">
        <v>97</v>
      </c>
      <c r="C126" s="34">
        <v>4</v>
      </c>
      <c r="D126" s="34">
        <v>2</v>
      </c>
      <c r="E126" s="34">
        <v>6</v>
      </c>
      <c r="F126" s="34">
        <v>-5</v>
      </c>
      <c r="G126" s="34" t="s">
        <v>125</v>
      </c>
      <c r="H126" s="34" t="s">
        <v>79</v>
      </c>
      <c r="I126" s="34">
        <v>37</v>
      </c>
      <c r="J126" s="34" t="s">
        <v>79</v>
      </c>
      <c r="K126" s="34">
        <v>42</v>
      </c>
      <c r="L126" s="34" t="b">
        <v>0</v>
      </c>
      <c r="M126" s="34">
        <v>2</v>
      </c>
      <c r="N126" s="34" t="s">
        <v>104</v>
      </c>
      <c r="O126" s="34">
        <v>55</v>
      </c>
      <c r="P126" s="34" t="s">
        <v>124</v>
      </c>
      <c r="Q126" s="34">
        <v>99</v>
      </c>
      <c r="R126" s="34" t="s">
        <v>105</v>
      </c>
      <c r="U126" s="34" t="s">
        <v>125</v>
      </c>
      <c r="V126" s="34" t="s">
        <v>116</v>
      </c>
    </row>
    <row r="127" spans="1:22" x14ac:dyDescent="0.3">
      <c r="A127" s="34">
        <v>109</v>
      </c>
      <c r="B127" s="34" t="s">
        <v>97</v>
      </c>
      <c r="C127" s="34">
        <v>4</v>
      </c>
      <c r="D127" s="34">
        <v>3</v>
      </c>
      <c r="E127" s="34">
        <v>11</v>
      </c>
      <c r="F127" s="34">
        <v>5</v>
      </c>
      <c r="G127" s="34" t="s">
        <v>102</v>
      </c>
      <c r="H127" s="34" t="s">
        <v>79</v>
      </c>
      <c r="I127" s="34">
        <v>42</v>
      </c>
      <c r="J127" s="34" t="s">
        <v>79</v>
      </c>
      <c r="K127" s="34">
        <v>37</v>
      </c>
      <c r="L127" s="34" t="b">
        <v>0</v>
      </c>
      <c r="M127" s="34">
        <v>4</v>
      </c>
      <c r="N127" s="34" t="s">
        <v>103</v>
      </c>
      <c r="O127" s="34">
        <v>2</v>
      </c>
      <c r="P127" s="34" t="s">
        <v>104</v>
      </c>
    </row>
    <row r="128" spans="1:22" x14ac:dyDescent="0.3">
      <c r="A128" s="34">
        <v>109</v>
      </c>
      <c r="B128" s="34" t="s">
        <v>97</v>
      </c>
      <c r="C128" s="34">
        <v>4</v>
      </c>
      <c r="D128" s="34">
        <v>3</v>
      </c>
      <c r="E128" s="34">
        <v>11</v>
      </c>
      <c r="F128" s="34">
        <v>37</v>
      </c>
      <c r="G128" s="34" t="s">
        <v>102</v>
      </c>
      <c r="H128" s="34" t="s">
        <v>79</v>
      </c>
      <c r="I128" s="34">
        <v>37</v>
      </c>
      <c r="J128" s="34" t="s">
        <v>79</v>
      </c>
      <c r="K128" s="34">
        <v>0</v>
      </c>
      <c r="L128" s="34" t="b">
        <v>0</v>
      </c>
      <c r="M128" s="34">
        <v>28</v>
      </c>
      <c r="N128" s="34" t="s">
        <v>101</v>
      </c>
      <c r="O128" s="34">
        <v>4</v>
      </c>
      <c r="P128" s="34" t="s">
        <v>103</v>
      </c>
      <c r="U128" s="34" t="s">
        <v>109</v>
      </c>
    </row>
    <row r="129" spans="1:22" x14ac:dyDescent="0.3">
      <c r="A129" s="34">
        <v>110</v>
      </c>
      <c r="B129" s="34" t="s">
        <v>97</v>
      </c>
      <c r="C129" s="34">
        <v>4</v>
      </c>
      <c r="F129" s="34">
        <v>0</v>
      </c>
      <c r="G129" s="34" t="s">
        <v>110</v>
      </c>
      <c r="L129" s="34" t="b">
        <v>1</v>
      </c>
      <c r="M129" s="34">
        <v>8</v>
      </c>
      <c r="N129" s="34" t="s">
        <v>96</v>
      </c>
      <c r="U129" s="34" t="s">
        <v>134</v>
      </c>
    </row>
    <row r="130" spans="1:22" x14ac:dyDescent="0.3">
      <c r="A130" s="34">
        <v>111</v>
      </c>
      <c r="B130" s="34" t="s">
        <v>97</v>
      </c>
      <c r="C130" s="34">
        <v>4</v>
      </c>
      <c r="F130" s="34">
        <v>65</v>
      </c>
      <c r="G130" s="34" t="s">
        <v>95</v>
      </c>
      <c r="H130" s="34" t="s">
        <v>78</v>
      </c>
      <c r="I130" s="34">
        <v>35</v>
      </c>
      <c r="J130" s="34" t="s">
        <v>79</v>
      </c>
      <c r="K130" s="34">
        <v>0</v>
      </c>
      <c r="L130" s="34" t="b">
        <v>1</v>
      </c>
      <c r="M130" s="34">
        <v>8</v>
      </c>
      <c r="N130" s="34" t="s">
        <v>96</v>
      </c>
    </row>
    <row r="131" spans="1:22" x14ac:dyDescent="0.3">
      <c r="A131" s="34">
        <v>112</v>
      </c>
      <c r="B131" s="34" t="s">
        <v>94</v>
      </c>
      <c r="C131" s="34">
        <v>4</v>
      </c>
      <c r="D131" s="34">
        <v>1</v>
      </c>
      <c r="E131" s="34">
        <v>10</v>
      </c>
      <c r="F131" s="34">
        <v>1</v>
      </c>
      <c r="G131" s="34" t="s">
        <v>100</v>
      </c>
      <c r="H131" s="34" t="s">
        <v>78</v>
      </c>
      <c r="I131" s="34">
        <v>25</v>
      </c>
      <c r="J131" s="34" t="s">
        <v>78</v>
      </c>
      <c r="K131" s="34">
        <v>26</v>
      </c>
      <c r="L131" s="34" t="b">
        <v>0</v>
      </c>
      <c r="M131" s="34">
        <v>32</v>
      </c>
      <c r="N131" s="34" t="s">
        <v>101</v>
      </c>
      <c r="Q131" s="34">
        <v>75</v>
      </c>
      <c r="R131" s="34" t="s">
        <v>115</v>
      </c>
    </row>
    <row r="132" spans="1:22" x14ac:dyDescent="0.3">
      <c r="A132" s="34">
        <v>113</v>
      </c>
      <c r="B132" s="34" t="s">
        <v>94</v>
      </c>
      <c r="C132" s="34">
        <v>4</v>
      </c>
      <c r="D132" s="34">
        <v>2</v>
      </c>
      <c r="E132" s="34">
        <v>9</v>
      </c>
      <c r="F132" s="34">
        <v>0</v>
      </c>
      <c r="G132" s="34" t="s">
        <v>120</v>
      </c>
      <c r="H132" s="34" t="s">
        <v>78</v>
      </c>
      <c r="I132" s="34">
        <v>26</v>
      </c>
      <c r="J132" s="34" t="s">
        <v>78</v>
      </c>
      <c r="K132" s="34">
        <v>26</v>
      </c>
      <c r="L132" s="34" t="b">
        <v>0</v>
      </c>
      <c r="M132" s="34">
        <v>91</v>
      </c>
      <c r="N132" s="34" t="s">
        <v>108</v>
      </c>
      <c r="O132" s="34">
        <v>16</v>
      </c>
      <c r="P132" s="34" t="s">
        <v>104</v>
      </c>
      <c r="Q132" s="34">
        <v>10</v>
      </c>
      <c r="R132" s="34" t="s">
        <v>99</v>
      </c>
      <c r="U132" s="34" t="s">
        <v>123</v>
      </c>
    </row>
    <row r="133" spans="1:22" x14ac:dyDescent="0.3">
      <c r="A133" s="34">
        <v>113</v>
      </c>
      <c r="B133" s="34" t="s">
        <v>94</v>
      </c>
      <c r="C133" s="34">
        <v>4</v>
      </c>
      <c r="D133" s="34">
        <v>2</v>
      </c>
      <c r="E133" s="34">
        <v>9</v>
      </c>
      <c r="F133" s="34">
        <v>2</v>
      </c>
      <c r="G133" s="34" t="s">
        <v>98</v>
      </c>
      <c r="H133" s="34" t="s">
        <v>78</v>
      </c>
      <c r="I133" s="34">
        <v>43</v>
      </c>
      <c r="J133" s="34" t="s">
        <v>78</v>
      </c>
      <c r="K133" s="34">
        <v>45</v>
      </c>
      <c r="L133" s="34" t="b">
        <v>0</v>
      </c>
      <c r="M133" s="34">
        <v>91</v>
      </c>
      <c r="N133" s="34" t="s">
        <v>108</v>
      </c>
      <c r="O133" s="34">
        <v>16</v>
      </c>
      <c r="P133" s="34" t="s">
        <v>104</v>
      </c>
      <c r="Q133" s="34">
        <v>10</v>
      </c>
      <c r="R133" s="34" t="s">
        <v>99</v>
      </c>
      <c r="U133" s="34" t="s">
        <v>114</v>
      </c>
    </row>
    <row r="134" spans="1:22" x14ac:dyDescent="0.3">
      <c r="A134" s="34">
        <v>114</v>
      </c>
      <c r="B134" s="34" t="s">
        <v>97</v>
      </c>
      <c r="C134" s="34">
        <v>4</v>
      </c>
      <c r="D134" s="34">
        <v>1</v>
      </c>
      <c r="E134" s="34">
        <v>10</v>
      </c>
      <c r="F134" s="34">
        <v>3</v>
      </c>
      <c r="G134" s="34" t="s">
        <v>100</v>
      </c>
      <c r="H134" s="34" t="s">
        <v>79</v>
      </c>
      <c r="I134" s="34">
        <v>45</v>
      </c>
      <c r="J134" s="34" t="s">
        <v>79</v>
      </c>
      <c r="K134" s="34">
        <v>42</v>
      </c>
      <c r="L134" s="34" t="b">
        <v>0</v>
      </c>
      <c r="M134" s="34">
        <v>21</v>
      </c>
      <c r="N134" s="34" t="s">
        <v>101</v>
      </c>
      <c r="Q134" s="34">
        <v>3</v>
      </c>
      <c r="R134" s="34" t="s">
        <v>105</v>
      </c>
    </row>
    <row r="135" spans="1:22" x14ac:dyDescent="0.3">
      <c r="A135" s="34">
        <v>115</v>
      </c>
      <c r="B135" s="34" t="s">
        <v>97</v>
      </c>
      <c r="C135" s="34">
        <v>4</v>
      </c>
      <c r="D135" s="34">
        <v>2</v>
      </c>
      <c r="E135" s="34">
        <v>7</v>
      </c>
      <c r="F135" s="34">
        <v>-1</v>
      </c>
      <c r="G135" s="34" t="s">
        <v>100</v>
      </c>
      <c r="H135" s="34" t="s">
        <v>79</v>
      </c>
      <c r="I135" s="34">
        <v>42</v>
      </c>
      <c r="J135" s="34" t="s">
        <v>79</v>
      </c>
      <c r="K135" s="34">
        <v>43</v>
      </c>
      <c r="L135" s="34" t="b">
        <v>0</v>
      </c>
      <c r="M135" s="34">
        <v>21</v>
      </c>
      <c r="N135" s="34" t="s">
        <v>101</v>
      </c>
      <c r="U135" s="34" t="s">
        <v>112</v>
      </c>
      <c r="V135" s="34" t="s">
        <v>113</v>
      </c>
    </row>
    <row r="136" spans="1:22" x14ac:dyDescent="0.3">
      <c r="A136" s="34">
        <v>115</v>
      </c>
      <c r="B136" s="34" t="s">
        <v>97</v>
      </c>
      <c r="C136" s="34">
        <v>4</v>
      </c>
      <c r="D136" s="34">
        <v>2</v>
      </c>
      <c r="E136" s="34">
        <v>7</v>
      </c>
      <c r="F136" s="34">
        <v>0</v>
      </c>
      <c r="G136" s="34" t="s">
        <v>98</v>
      </c>
      <c r="H136" s="34" t="s">
        <v>79</v>
      </c>
      <c r="I136" s="34">
        <v>43</v>
      </c>
      <c r="J136" s="34" t="s">
        <v>79</v>
      </c>
      <c r="K136" s="34">
        <v>43</v>
      </c>
      <c r="L136" s="34" t="b">
        <v>0</v>
      </c>
      <c r="M136" s="34">
        <v>21</v>
      </c>
      <c r="N136" s="34" t="s">
        <v>101</v>
      </c>
      <c r="Q136" s="34">
        <v>59</v>
      </c>
      <c r="R136" s="34" t="s">
        <v>115</v>
      </c>
      <c r="U136" s="34" t="s">
        <v>113</v>
      </c>
      <c r="V136" s="34" t="s">
        <v>114</v>
      </c>
    </row>
    <row r="137" spans="1:22" x14ac:dyDescent="0.3">
      <c r="A137" s="34">
        <v>116</v>
      </c>
      <c r="B137" s="34" t="s">
        <v>94</v>
      </c>
      <c r="C137" s="34">
        <v>4</v>
      </c>
      <c r="D137" s="34">
        <v>1</v>
      </c>
      <c r="E137" s="34">
        <v>10</v>
      </c>
      <c r="F137" s="34">
        <v>4</v>
      </c>
      <c r="G137" s="34" t="s">
        <v>100</v>
      </c>
      <c r="H137" s="34" t="s">
        <v>78</v>
      </c>
      <c r="I137" s="34">
        <v>43</v>
      </c>
      <c r="J137" s="34" t="s">
        <v>78</v>
      </c>
      <c r="K137" s="34">
        <v>47</v>
      </c>
      <c r="L137" s="34" t="b">
        <v>0</v>
      </c>
      <c r="M137" s="34">
        <v>49</v>
      </c>
      <c r="N137" s="34" t="s">
        <v>101</v>
      </c>
      <c r="Q137" s="34">
        <v>44</v>
      </c>
      <c r="R137" s="34" t="s">
        <v>105</v>
      </c>
      <c r="S137" s="34">
        <v>4</v>
      </c>
      <c r="T137" s="34" t="s">
        <v>99</v>
      </c>
    </row>
    <row r="138" spans="1:22" x14ac:dyDescent="0.3">
      <c r="A138" s="34">
        <v>117</v>
      </c>
      <c r="B138" s="34" t="s">
        <v>94</v>
      </c>
      <c r="C138" s="34">
        <v>4</v>
      </c>
      <c r="D138" s="34">
        <v>2</v>
      </c>
      <c r="E138" s="34">
        <v>6</v>
      </c>
      <c r="F138" s="34">
        <v>0</v>
      </c>
      <c r="G138" s="34" t="s">
        <v>120</v>
      </c>
      <c r="H138" s="34" t="s">
        <v>78</v>
      </c>
      <c r="I138" s="34">
        <v>47</v>
      </c>
      <c r="J138" s="34" t="s">
        <v>78</v>
      </c>
      <c r="K138" s="34">
        <v>47</v>
      </c>
      <c r="L138" s="34" t="b">
        <v>0</v>
      </c>
      <c r="M138" s="34">
        <v>7</v>
      </c>
      <c r="N138" s="34" t="s">
        <v>103</v>
      </c>
      <c r="O138" s="34">
        <v>16</v>
      </c>
      <c r="P138" s="34" t="s">
        <v>104</v>
      </c>
      <c r="Q138" s="34">
        <v>4</v>
      </c>
      <c r="R138" s="34" t="s">
        <v>99</v>
      </c>
    </row>
    <row r="139" spans="1:22" x14ac:dyDescent="0.3">
      <c r="A139" s="34">
        <v>118</v>
      </c>
      <c r="B139" s="34" t="s">
        <v>94</v>
      </c>
      <c r="C139" s="34">
        <v>4</v>
      </c>
      <c r="D139" s="34">
        <v>3</v>
      </c>
      <c r="E139" s="34">
        <v>6</v>
      </c>
      <c r="F139" s="34">
        <v>2</v>
      </c>
      <c r="G139" s="34" t="s">
        <v>100</v>
      </c>
      <c r="H139" s="34" t="s">
        <v>78</v>
      </c>
      <c r="I139" s="34">
        <v>47</v>
      </c>
      <c r="J139" s="34" t="s">
        <v>78</v>
      </c>
      <c r="K139" s="34">
        <v>49</v>
      </c>
      <c r="L139" s="34" t="b">
        <v>0</v>
      </c>
      <c r="M139" s="34">
        <v>49</v>
      </c>
      <c r="N139" s="34" t="s">
        <v>101</v>
      </c>
      <c r="Q139" s="34">
        <v>3</v>
      </c>
      <c r="R139" s="34" t="s">
        <v>115</v>
      </c>
    </row>
    <row r="140" spans="1:22" x14ac:dyDescent="0.3">
      <c r="A140" s="34">
        <v>119</v>
      </c>
      <c r="B140" s="34" t="s">
        <v>94</v>
      </c>
      <c r="C140" s="34">
        <v>4</v>
      </c>
      <c r="D140" s="34">
        <v>4</v>
      </c>
      <c r="E140" s="34">
        <v>4</v>
      </c>
      <c r="F140" s="34">
        <v>0</v>
      </c>
      <c r="G140" s="34" t="s">
        <v>106</v>
      </c>
      <c r="I140" s="34">
        <v>5</v>
      </c>
      <c r="L140" s="34" t="b">
        <v>0</v>
      </c>
      <c r="U140" s="34" t="s">
        <v>119</v>
      </c>
    </row>
    <row r="141" spans="1:22" x14ac:dyDescent="0.3">
      <c r="A141" s="34">
        <v>120</v>
      </c>
      <c r="B141" s="34" t="s">
        <v>94</v>
      </c>
      <c r="C141" s="34">
        <v>4</v>
      </c>
      <c r="D141" s="34">
        <v>4</v>
      </c>
      <c r="E141" s="34">
        <v>9</v>
      </c>
      <c r="F141" s="34">
        <v>12</v>
      </c>
      <c r="G141" s="34" t="s">
        <v>121</v>
      </c>
      <c r="H141" s="34" t="s">
        <v>78</v>
      </c>
      <c r="I141" s="34">
        <v>44</v>
      </c>
      <c r="J141" s="34" t="s">
        <v>79</v>
      </c>
      <c r="K141" s="34">
        <v>44</v>
      </c>
      <c r="L141" s="34" t="b">
        <v>1</v>
      </c>
      <c r="M141" s="34">
        <v>9</v>
      </c>
      <c r="N141" s="34" t="s">
        <v>122</v>
      </c>
    </row>
    <row r="142" spans="1:22" x14ac:dyDescent="0.3">
      <c r="A142" s="34">
        <v>120</v>
      </c>
      <c r="B142" s="34" t="s">
        <v>97</v>
      </c>
      <c r="C142" s="34">
        <v>4</v>
      </c>
      <c r="D142" s="34">
        <v>4</v>
      </c>
      <c r="E142" s="34">
        <v>9</v>
      </c>
      <c r="F142" s="34">
        <v>9</v>
      </c>
      <c r="G142" s="34" t="s">
        <v>98</v>
      </c>
      <c r="H142" s="34" t="s">
        <v>78</v>
      </c>
      <c r="I142" s="34">
        <v>44</v>
      </c>
      <c r="J142" s="34" t="s">
        <v>79</v>
      </c>
      <c r="K142" s="34">
        <v>47</v>
      </c>
      <c r="L142" s="34" t="b">
        <v>0</v>
      </c>
      <c r="M142" s="34">
        <v>24</v>
      </c>
      <c r="N142" s="34" t="s">
        <v>99</v>
      </c>
      <c r="U142" s="34" t="s">
        <v>121</v>
      </c>
    </row>
    <row r="143" spans="1:22" x14ac:dyDescent="0.3">
      <c r="A143" s="34">
        <v>121</v>
      </c>
      <c r="B143" s="34" t="s">
        <v>97</v>
      </c>
      <c r="C143" s="34">
        <v>4</v>
      </c>
      <c r="D143" s="34">
        <v>1</v>
      </c>
      <c r="E143" s="34">
        <v>10</v>
      </c>
      <c r="F143" s="34">
        <v>0</v>
      </c>
      <c r="G143" s="34" t="s">
        <v>120</v>
      </c>
      <c r="H143" s="34" t="s">
        <v>79</v>
      </c>
      <c r="I143" s="34">
        <v>47</v>
      </c>
      <c r="J143" s="34" t="s">
        <v>79</v>
      </c>
      <c r="K143" s="34">
        <v>47</v>
      </c>
      <c r="L143" s="34" t="b">
        <v>0</v>
      </c>
      <c r="M143" s="34">
        <v>8</v>
      </c>
      <c r="N143" s="34" t="s">
        <v>103</v>
      </c>
      <c r="O143" s="34">
        <v>15</v>
      </c>
      <c r="P143" s="34" t="s">
        <v>104</v>
      </c>
      <c r="Q143" s="34">
        <v>0</v>
      </c>
      <c r="R143" s="34" t="s">
        <v>99</v>
      </c>
      <c r="S143" s="34">
        <v>3</v>
      </c>
      <c r="T143" s="34" t="s">
        <v>105</v>
      </c>
    </row>
    <row r="144" spans="1:22" x14ac:dyDescent="0.3">
      <c r="A144" s="34">
        <v>122</v>
      </c>
      <c r="B144" s="34" t="s">
        <v>97</v>
      </c>
      <c r="C144" s="34">
        <v>4</v>
      </c>
      <c r="D144" s="34">
        <v>2</v>
      </c>
      <c r="E144" s="34">
        <v>10</v>
      </c>
      <c r="F144" s="34">
        <v>0</v>
      </c>
      <c r="G144" s="34" t="s">
        <v>100</v>
      </c>
      <c r="H144" s="34" t="s">
        <v>79</v>
      </c>
      <c r="I144" s="34">
        <v>47</v>
      </c>
      <c r="J144" s="34" t="s">
        <v>79</v>
      </c>
      <c r="K144" s="34">
        <v>47</v>
      </c>
      <c r="L144" s="34" t="b">
        <v>0</v>
      </c>
      <c r="M144" s="34">
        <v>21</v>
      </c>
      <c r="N144" s="34" t="s">
        <v>101</v>
      </c>
      <c r="Q144" s="34">
        <v>12</v>
      </c>
      <c r="R144" s="34" t="s">
        <v>99</v>
      </c>
      <c r="S144" s="34">
        <v>2</v>
      </c>
      <c r="T144" s="34" t="s">
        <v>99</v>
      </c>
    </row>
    <row r="145" spans="1:21" x14ac:dyDescent="0.3">
      <c r="A145" s="34">
        <v>123</v>
      </c>
      <c r="B145" s="34" t="s">
        <v>97</v>
      </c>
      <c r="C145" s="34">
        <v>4</v>
      </c>
      <c r="D145" s="34">
        <v>3</v>
      </c>
      <c r="E145" s="34">
        <v>10</v>
      </c>
      <c r="F145" s="34">
        <v>8</v>
      </c>
      <c r="G145" s="34" t="s">
        <v>100</v>
      </c>
      <c r="H145" s="34" t="s">
        <v>79</v>
      </c>
      <c r="I145" s="34">
        <v>47</v>
      </c>
      <c r="J145" s="34" t="s">
        <v>79</v>
      </c>
      <c r="K145" s="34">
        <v>39</v>
      </c>
      <c r="L145" s="34" t="b">
        <v>0</v>
      </c>
      <c r="M145" s="34">
        <v>15</v>
      </c>
      <c r="N145" s="34" t="s">
        <v>104</v>
      </c>
      <c r="Q145" s="34">
        <v>3</v>
      </c>
      <c r="R145" s="34" t="s">
        <v>105</v>
      </c>
      <c r="S145" s="34">
        <v>56</v>
      </c>
      <c r="T145" s="34" t="s">
        <v>115</v>
      </c>
    </row>
    <row r="146" spans="1:21" x14ac:dyDescent="0.3">
      <c r="A146" s="34">
        <v>124</v>
      </c>
      <c r="B146" s="34" t="s">
        <v>97</v>
      </c>
      <c r="C146" s="34">
        <v>4</v>
      </c>
      <c r="D146" s="34">
        <v>4</v>
      </c>
      <c r="E146" s="34">
        <v>2</v>
      </c>
      <c r="F146" s="34">
        <v>-4</v>
      </c>
      <c r="G146" s="34" t="s">
        <v>100</v>
      </c>
      <c r="H146" s="34" t="s">
        <v>79</v>
      </c>
      <c r="I146" s="34">
        <v>39</v>
      </c>
      <c r="J146" s="34" t="s">
        <v>79</v>
      </c>
      <c r="K146" s="34">
        <v>43</v>
      </c>
      <c r="L146" s="34" t="b">
        <v>0</v>
      </c>
      <c r="M146" s="34">
        <v>28</v>
      </c>
      <c r="N146" s="34" t="s">
        <v>101</v>
      </c>
      <c r="Q146" s="34">
        <v>52</v>
      </c>
      <c r="R146" s="34" t="s">
        <v>115</v>
      </c>
      <c r="U146" s="34" t="s">
        <v>116</v>
      </c>
    </row>
    <row r="147" spans="1:21" x14ac:dyDescent="0.3">
      <c r="A147" s="34">
        <v>125</v>
      </c>
      <c r="B147" s="34" t="s">
        <v>94</v>
      </c>
      <c r="C147" s="34">
        <v>4</v>
      </c>
      <c r="F147" s="34">
        <v>0</v>
      </c>
      <c r="G147" s="34" t="s">
        <v>106</v>
      </c>
      <c r="I147" s="34">
        <v>5</v>
      </c>
      <c r="L147" s="34" t="b">
        <v>0</v>
      </c>
      <c r="U147" s="34" t="s">
        <v>119</v>
      </c>
    </row>
    <row r="148" spans="1:21" x14ac:dyDescent="0.3">
      <c r="A148" s="34">
        <v>126</v>
      </c>
      <c r="B148" s="34" t="s">
        <v>94</v>
      </c>
      <c r="C148" s="34">
        <v>4</v>
      </c>
      <c r="D148" s="34">
        <v>1</v>
      </c>
      <c r="E148" s="34">
        <v>15</v>
      </c>
      <c r="F148" s="34">
        <v>0</v>
      </c>
      <c r="G148" s="34" t="s">
        <v>120</v>
      </c>
      <c r="H148" s="34" t="s">
        <v>78</v>
      </c>
      <c r="I148" s="34">
        <v>38</v>
      </c>
      <c r="J148" s="34" t="s">
        <v>78</v>
      </c>
      <c r="K148" s="34">
        <v>38</v>
      </c>
      <c r="L148" s="34" t="b">
        <v>0</v>
      </c>
      <c r="M148" s="34">
        <v>97</v>
      </c>
      <c r="N148" s="34" t="s">
        <v>103</v>
      </c>
      <c r="O148" s="34">
        <v>9</v>
      </c>
      <c r="P148" s="34" t="s">
        <v>104</v>
      </c>
    </row>
    <row r="149" spans="1:21" x14ac:dyDescent="0.3">
      <c r="A149" s="34">
        <v>127</v>
      </c>
      <c r="B149" s="34" t="s">
        <v>94</v>
      </c>
      <c r="C149" s="34">
        <v>4</v>
      </c>
      <c r="D149" s="34">
        <v>2</v>
      </c>
      <c r="E149" s="34">
        <v>15</v>
      </c>
      <c r="F149" s="34">
        <v>19</v>
      </c>
      <c r="G149" s="34" t="s">
        <v>102</v>
      </c>
      <c r="H149" s="34" t="s">
        <v>78</v>
      </c>
      <c r="I149" s="34">
        <v>38</v>
      </c>
      <c r="J149" s="34" t="s">
        <v>79</v>
      </c>
      <c r="K149" s="34">
        <v>43</v>
      </c>
      <c r="L149" s="34" t="b">
        <v>0</v>
      </c>
      <c r="M149" s="34">
        <v>16</v>
      </c>
      <c r="N149" s="34" t="s">
        <v>103</v>
      </c>
      <c r="O149" s="34">
        <v>9</v>
      </c>
      <c r="P149" s="34" t="s">
        <v>104</v>
      </c>
      <c r="Q149" s="34">
        <v>24</v>
      </c>
      <c r="R149" s="34" t="s">
        <v>99</v>
      </c>
      <c r="S149" s="34">
        <v>8</v>
      </c>
      <c r="T149" s="34" t="s">
        <v>99</v>
      </c>
    </row>
    <row r="150" spans="1:21" x14ac:dyDescent="0.3">
      <c r="A150" s="34">
        <v>128</v>
      </c>
      <c r="B150" s="34" t="s">
        <v>94</v>
      </c>
      <c r="C150" s="34">
        <v>4</v>
      </c>
      <c r="D150" s="34">
        <v>1</v>
      </c>
      <c r="E150" s="34">
        <v>10</v>
      </c>
      <c r="F150" s="34">
        <v>0</v>
      </c>
      <c r="G150" s="34" t="s">
        <v>120</v>
      </c>
      <c r="H150" s="34" t="s">
        <v>79</v>
      </c>
      <c r="I150" s="34">
        <v>43</v>
      </c>
      <c r="J150" s="34" t="s">
        <v>79</v>
      </c>
      <c r="K150" s="34">
        <v>43</v>
      </c>
      <c r="L150" s="34" t="b">
        <v>0</v>
      </c>
      <c r="M150" s="34">
        <v>10</v>
      </c>
      <c r="N150" s="34" t="s">
        <v>103</v>
      </c>
      <c r="O150" s="34">
        <v>9</v>
      </c>
      <c r="P150" s="34" t="s">
        <v>104</v>
      </c>
      <c r="Q150" s="34">
        <v>36</v>
      </c>
      <c r="R150" s="34" t="s">
        <v>105</v>
      </c>
    </row>
    <row r="151" spans="1:21" x14ac:dyDescent="0.3">
      <c r="A151" s="34">
        <v>129</v>
      </c>
      <c r="B151" s="34" t="s">
        <v>94</v>
      </c>
      <c r="C151" s="34">
        <v>4</v>
      </c>
      <c r="D151" s="34">
        <v>2</v>
      </c>
      <c r="E151" s="34">
        <v>10</v>
      </c>
      <c r="F151" s="34">
        <v>14</v>
      </c>
      <c r="G151" s="34" t="s">
        <v>102</v>
      </c>
      <c r="H151" s="34" t="s">
        <v>79</v>
      </c>
      <c r="I151" s="34">
        <v>43</v>
      </c>
      <c r="J151" s="34" t="s">
        <v>79</v>
      </c>
      <c r="K151" s="34">
        <v>29</v>
      </c>
      <c r="L151" s="34" t="b">
        <v>0</v>
      </c>
      <c r="M151" s="34">
        <v>32</v>
      </c>
      <c r="N151" s="34" t="s">
        <v>101</v>
      </c>
      <c r="O151" s="34">
        <v>9</v>
      </c>
      <c r="P151" s="34" t="s">
        <v>104</v>
      </c>
      <c r="Q151" s="34">
        <v>6</v>
      </c>
      <c r="R151" s="34" t="s">
        <v>99</v>
      </c>
      <c r="S151" s="34">
        <v>13</v>
      </c>
      <c r="T151" s="34" t="s">
        <v>105</v>
      </c>
    </row>
    <row r="152" spans="1:21" x14ac:dyDescent="0.3">
      <c r="A152" s="34">
        <v>130</v>
      </c>
      <c r="B152" s="34" t="s">
        <v>94</v>
      </c>
      <c r="C152" s="34">
        <v>4</v>
      </c>
      <c r="D152" s="34">
        <v>1</v>
      </c>
      <c r="E152" s="34">
        <v>10</v>
      </c>
      <c r="F152" s="34">
        <v>9</v>
      </c>
      <c r="G152" s="34" t="s">
        <v>100</v>
      </c>
      <c r="H152" s="34" t="s">
        <v>79</v>
      </c>
      <c r="I152" s="34">
        <v>29</v>
      </c>
      <c r="J152" s="34" t="s">
        <v>79</v>
      </c>
      <c r="K152" s="34">
        <v>20</v>
      </c>
      <c r="L152" s="34" t="b">
        <v>0</v>
      </c>
      <c r="M152" s="34">
        <v>9</v>
      </c>
      <c r="N152" s="34" t="s">
        <v>104</v>
      </c>
      <c r="Q152" s="34">
        <v>24</v>
      </c>
      <c r="R152" s="34" t="s">
        <v>99</v>
      </c>
      <c r="S152" s="34">
        <v>44</v>
      </c>
      <c r="T152" s="34" t="s">
        <v>105</v>
      </c>
    </row>
    <row r="153" spans="1:21" x14ac:dyDescent="0.3">
      <c r="A153" s="34">
        <v>131</v>
      </c>
      <c r="B153" s="34" t="s">
        <v>94</v>
      </c>
      <c r="C153" s="34">
        <v>4</v>
      </c>
      <c r="D153" s="34">
        <v>2</v>
      </c>
      <c r="E153" s="34">
        <v>1</v>
      </c>
      <c r="F153" s="34">
        <v>8</v>
      </c>
      <c r="G153" s="34" t="s">
        <v>102</v>
      </c>
      <c r="H153" s="34" t="s">
        <v>79</v>
      </c>
      <c r="I153" s="34">
        <v>20</v>
      </c>
      <c r="J153" s="34" t="s">
        <v>79</v>
      </c>
      <c r="K153" s="34">
        <v>12</v>
      </c>
      <c r="L153" s="34" t="b">
        <v>0</v>
      </c>
      <c r="M153" s="34">
        <v>28</v>
      </c>
      <c r="N153" s="34" t="s">
        <v>103</v>
      </c>
      <c r="O153" s="34">
        <v>9</v>
      </c>
      <c r="P153" s="34" t="s">
        <v>104</v>
      </c>
    </row>
    <row r="154" spans="1:21" x14ac:dyDescent="0.3">
      <c r="A154" s="34">
        <v>131</v>
      </c>
      <c r="B154" s="34" t="s">
        <v>94</v>
      </c>
      <c r="C154" s="34">
        <v>4</v>
      </c>
      <c r="F154" s="34">
        <v>0</v>
      </c>
      <c r="G154" s="34" t="s">
        <v>106</v>
      </c>
      <c r="I154" s="34">
        <v>7</v>
      </c>
      <c r="L154" s="34" t="b">
        <v>0</v>
      </c>
      <c r="U154" s="34" t="s">
        <v>107</v>
      </c>
    </row>
    <row r="155" spans="1:21" x14ac:dyDescent="0.3">
      <c r="A155" s="34">
        <v>132</v>
      </c>
      <c r="B155" s="34" t="s">
        <v>94</v>
      </c>
      <c r="C155" s="34">
        <v>4</v>
      </c>
      <c r="D155" s="34">
        <v>1</v>
      </c>
      <c r="E155" s="34">
        <v>6</v>
      </c>
      <c r="F155" s="34">
        <v>0</v>
      </c>
      <c r="G155" s="34" t="s">
        <v>120</v>
      </c>
      <c r="H155" s="34" t="s">
        <v>79</v>
      </c>
      <c r="I155" s="34">
        <v>6</v>
      </c>
      <c r="J155" s="34" t="s">
        <v>79</v>
      </c>
      <c r="K155" s="34">
        <v>6</v>
      </c>
      <c r="L155" s="34" t="b">
        <v>0</v>
      </c>
      <c r="M155" s="34">
        <v>97</v>
      </c>
      <c r="N155" s="34" t="s">
        <v>103</v>
      </c>
      <c r="O155" s="34">
        <v>9</v>
      </c>
      <c r="P155" s="34" t="s">
        <v>104</v>
      </c>
      <c r="Q155" s="34">
        <v>4</v>
      </c>
      <c r="R155" s="34" t="s">
        <v>99</v>
      </c>
    </row>
    <row r="156" spans="1:21" x14ac:dyDescent="0.3">
      <c r="A156" s="34">
        <v>133</v>
      </c>
      <c r="B156" s="34" t="s">
        <v>94</v>
      </c>
      <c r="C156" s="34">
        <v>4</v>
      </c>
      <c r="D156" s="34">
        <v>2</v>
      </c>
      <c r="E156" s="34">
        <v>6</v>
      </c>
      <c r="F156" s="34">
        <v>6</v>
      </c>
      <c r="G156" s="34" t="s">
        <v>102</v>
      </c>
      <c r="H156" s="34" t="s">
        <v>79</v>
      </c>
      <c r="I156" s="34">
        <v>6</v>
      </c>
      <c r="J156" s="34" t="s">
        <v>79</v>
      </c>
      <c r="K156" s="34">
        <v>0</v>
      </c>
      <c r="L156" s="34" t="b">
        <v>0</v>
      </c>
      <c r="M156" s="34">
        <v>16</v>
      </c>
      <c r="N156" s="34" t="s">
        <v>103</v>
      </c>
      <c r="O156" s="34">
        <v>9</v>
      </c>
      <c r="P156" s="34" t="s">
        <v>104</v>
      </c>
      <c r="U156" s="34" t="s">
        <v>109</v>
      </c>
    </row>
    <row r="157" spans="1:21" x14ac:dyDescent="0.3">
      <c r="A157" s="34">
        <v>134</v>
      </c>
      <c r="B157" s="34" t="s">
        <v>94</v>
      </c>
      <c r="C157" s="34">
        <v>4</v>
      </c>
      <c r="F157" s="34">
        <v>0</v>
      </c>
      <c r="G157" s="34" t="s">
        <v>106</v>
      </c>
      <c r="I157" s="34">
        <v>15</v>
      </c>
      <c r="L157" s="34" t="b">
        <v>0</v>
      </c>
      <c r="U157" s="34" t="s">
        <v>119</v>
      </c>
    </row>
    <row r="158" spans="1:21" x14ac:dyDescent="0.3">
      <c r="A158" s="34">
        <v>135</v>
      </c>
      <c r="B158" s="34" t="s">
        <v>94</v>
      </c>
      <c r="C158" s="34">
        <v>4</v>
      </c>
      <c r="F158" s="34">
        <v>0</v>
      </c>
      <c r="G158" s="34" t="s">
        <v>135</v>
      </c>
      <c r="L158" s="34" t="b">
        <v>0</v>
      </c>
      <c r="O158" s="34">
        <v>7</v>
      </c>
      <c r="P158" s="34" t="s">
        <v>103</v>
      </c>
      <c r="Q158" s="34">
        <v>44</v>
      </c>
      <c r="R158" s="34" t="s">
        <v>105</v>
      </c>
      <c r="U158" s="34" t="s">
        <v>136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Index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이근형</dc:creator>
  <cp:lastModifiedBy>권동훈</cp:lastModifiedBy>
  <dcterms:created xsi:type="dcterms:W3CDTF">2025-08-12T07:54:49Z</dcterms:created>
  <dcterms:modified xsi:type="dcterms:W3CDTF">2025-09-11T02:27:01Z</dcterms:modified>
</cp:coreProperties>
</file>